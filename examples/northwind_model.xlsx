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ver" sheetId="1" r:id="rId1"/>
    <sheet name="Summary" sheetId="2" r:id="rId2"/>
    <sheet name="Assumptions" sheetId="3" r:id="rId3"/>
    <sheet name="Income Statement" sheetId="4" r:id="rId4"/>
    <sheet name="Balance Sheet" sheetId="5" r:id="rId5"/>
    <sheet name="Cash Flow" sheetId="6" r:id="rId6"/>
    <sheet name="Schedules" sheetId="7" r:id="rId7"/>
    <sheet name="Checks" sheetId="8" r:id="rId8"/>
    <sheet name="Sensitivity" sheetId="9" r:id="rId9"/>
  </sheets>
  <definedNames>
    <definedName name="Days_In_Year">Assumptions!$C$12</definedName>
    <definedName name="Min_Cash">Assumptions!$C$13</definedName>
    <definedName name="Model_Checks_OK">Checks!$C$19</definedName>
    <definedName name="_xlnm.Print_Area" localSheetId="2">Assumptions!$A$1:$K$71</definedName>
    <definedName name="_xlnm.Print_Area" localSheetId="4">'Balance Sheet'!$A$1:$J$32</definedName>
    <definedName name="_xlnm.Print_Area" localSheetId="5">'Cash Flow'!$A$1:$J$34</definedName>
    <definedName name="_xlnm.Print_Area" localSheetId="7">Checks!$A$1:$K$21</definedName>
    <definedName name="_xlnm.Print_Area" localSheetId="0">Cover!$A$1:$C$45</definedName>
    <definedName name="_xlnm.Print_Area" localSheetId="3">'Income Statement'!$A$1:$J$35</definedName>
    <definedName name="_xlnm.Print_Area" localSheetId="6">Schedules!$A$1:$J$73</definedName>
    <definedName name="_xlnm.Print_Area" localSheetId="8">Sensitivity!$A$1:$G$26</definedName>
    <definedName name="_xlnm.Print_Area" localSheetId="1">Summary!$A$1:$J$67</definedName>
    <definedName name="_xlnm.Print_Titles" localSheetId="2">Assumptions!$4:$5</definedName>
    <definedName name="_xlnm.Print_Titles" localSheetId="4">'Balance Sheet'!$4:$5</definedName>
    <definedName name="_xlnm.Print_Titles" localSheetId="5">'Cash Flow'!$4:$5</definedName>
    <definedName name="_xlnm.Print_Titles" localSheetId="7">Checks!$4:$5</definedName>
    <definedName name="_xlnm.Print_Titles" localSheetId="3">'Income Statement'!$4:$5</definedName>
    <definedName name="_xlnm.Print_Titles" localSheetId="6">Schedules!$4:$5</definedName>
    <definedName name="_xlnm.Print_Titles" localSheetId="1">Summary!$4:$5</definedName>
    <definedName name="Revolver_Limit">Assumptions!$C$14</definedName>
    <definedName name="Scenario">Assumptions!$C$7</definedName>
    <definedName name="Scenario_Idx">Assumptions!$C$8</definedName>
    <definedName name="Tolerance">Assumptions!$C$15</definedName>
  </definedNames>
  <calcPr calcId="124519" fullCalcOnLoad="1"/>
</workbook>
</file>

<file path=xl/sharedStrings.xml><?xml version="1.0" encoding="utf-8"?>
<sst xmlns="http://schemas.openxmlformats.org/spreadsheetml/2006/main" count="571" uniqueCount="285">
  <si>
    <t>Northwind Components Inc. (fictional) | Summary dashboard</t>
  </si>
  <si>
    <t>Key financials, credit statistics and returns. $ in millions except per share data; fiscal year ends December 31.</t>
  </si>
  <si>
    <t>Actual</t>
  </si>
  <si>
    <t>Forecast</t>
  </si>
  <si>
    <t>($ in millions)</t>
  </si>
  <si>
    <t>Unit</t>
  </si>
  <si>
    <t>Income statement</t>
  </si>
  <si>
    <t>Revenue</t>
  </si>
  <si>
    <t>$m</t>
  </si>
  <si>
    <t>% growth</t>
  </si>
  <si>
    <t>%</t>
  </si>
  <si>
    <t>Gross profit</t>
  </si>
  <si>
    <t>% margin</t>
  </si>
  <si>
    <t>EBITDA</t>
  </si>
  <si>
    <t>EBIT margin</t>
  </si>
  <si>
    <t>Net income</t>
  </si>
  <si>
    <t>Earnings per share</t>
  </si>
  <si>
    <t>$</t>
  </si>
  <si>
    <t>Cash flow</t>
  </si>
  <si>
    <t>Cash flow from operations</t>
  </si>
  <si>
    <t>Capital expenditures</t>
  </si>
  <si>
    <t>Free cash flow</t>
  </si>
  <si>
    <t>FCF margin (% of revenue)</t>
  </si>
  <si>
    <t>FCF conversion (% of EBITDA)</t>
  </si>
  <si>
    <t>Balance sheet and credit</t>
  </si>
  <si>
    <t>Cash and equivalents</t>
  </si>
  <si>
    <t>Total debt</t>
  </si>
  <si>
    <t>Net debt</t>
  </si>
  <si>
    <t>Net debt / EBITDA</t>
  </si>
  <si>
    <t>x</t>
  </si>
  <si>
    <t>Interest coverage (EBIT / interest expense)</t>
  </si>
  <si>
    <t>Invested capital (debt + equity - cash)</t>
  </si>
  <si>
    <t>Returns (on average balances)</t>
  </si>
  <si>
    <t>Return on equity</t>
  </si>
  <si>
    <t>Return on invested capital (NOPAT / invested capital)</t>
  </si>
  <si>
    <t>Northwind Components Inc. (fictional) | Assumptions</t>
  </si>
  <si>
    <t>All inputs live here. Blue cells are hard-coded inputs. $ in millions except per share data; fiscal year ends December 31.</t>
  </si>
  <si>
    <t>Notes</t>
  </si>
  <si>
    <t>Model controls</t>
  </si>
  <si>
    <t>Active scenario (choose from list)</t>
  </si>
  <si>
    <t>list</t>
  </si>
  <si>
    <t>Base</t>
  </si>
  <si>
    <t>Single dropdown: every sheet, chart and ratio recalculates.</t>
  </si>
  <si>
    <t>Scenario index</t>
  </si>
  <si>
    <t>#</t>
  </si>
  <si>
    <t>Position of the active scenario in the list below; drives CHOOSE().</t>
  </si>
  <si>
    <t>Scenario list (1)</t>
  </si>
  <si>
    <t/>
  </si>
  <si>
    <t>Scenario list (2)</t>
  </si>
  <si>
    <t>Upside</t>
  </si>
  <si>
    <t>Scenario list (3)</t>
  </si>
  <si>
    <t>Downside</t>
  </si>
  <si>
    <t>Days in year (working capital)</t>
  </si>
  <si>
    <t>days</t>
  </si>
  <si>
    <t>Minimum cash balance</t>
  </si>
  <si>
    <t>The revolver draws to defend this level and repays from any excess.</t>
  </si>
  <si>
    <t>Revolver commitment</t>
  </si>
  <si>
    <t>Check tolerance</t>
  </si>
  <si>
    <t>Interest basis: opening balances (no circular references). The Python engine also offers an average-balance mode solved iteratively.</t>
  </si>
  <si>
    <t>Scenario drivers (first row of each block is live; edit the three rows beneath)</t>
  </si>
  <si>
    <t>Revenue growth: Industrial Controls</t>
  </si>
  <si>
    <t>Year-over-year growth for the segment.</t>
  </si>
  <si>
    <t>Revenue growth: Automotive Sensors</t>
  </si>
  <si>
    <t>Revenue growth: Aftermarket Services</t>
  </si>
  <si>
    <t>Gross margin (before D&amp;A)</t>
  </si>
  <si>
    <t>COGS excludes depreciation and amortization.</t>
  </si>
  <si>
    <t>SG&amp;A as % of revenue</t>
  </si>
  <si>
    <t>Downside deleverages: fixed costs do not flex with revenue.</t>
  </si>
  <si>
    <t>Capex as % of revenue</t>
  </si>
  <si>
    <t>Historical capex is implied from the PP&amp;E roll-forward.</t>
  </si>
  <si>
    <t>Days sales outstanding (DSO)</t>
  </si>
  <si>
    <t>Receivables = DSO / days in year x revenue.</t>
  </si>
  <si>
    <t>Days inventory outstanding (DIO)</t>
  </si>
  <si>
    <t>Inventory = DIO / days in year x COGS.</t>
  </si>
  <si>
    <t>Other operating drivers (all scenarios)</t>
  </si>
  <si>
    <t>R&amp;D as % of revenue</t>
  </si>
  <si>
    <t>Prepaid and other current assets, % of revenue</t>
  </si>
  <si>
    <t>Accrued liabilities, % of revenue</t>
  </si>
  <si>
    <t>Days payables outstanding (DPO)</t>
  </si>
  <si>
    <t>Payables = DPO / days in year x COGS.</t>
  </si>
  <si>
    <t>D&amp;A as % of opening net PP&amp;E</t>
  </si>
  <si>
    <t>Tax rate (on positive pre-tax income)</t>
  </si>
  <si>
    <t>Simplified: no deferred taxes, no loss carry-forwards.</t>
  </si>
  <si>
    <t>Financing</t>
  </si>
  <si>
    <t>Term loan interest rate</t>
  </si>
  <si>
    <t>Applied to the opening balance.</t>
  </si>
  <si>
    <t>Revolver interest rate</t>
  </si>
  <si>
    <t>Interest rate earned on cash</t>
  </si>
  <si>
    <t>Term loan mandatory amortization</t>
  </si>
  <si>
    <t>Capital returns and issuance</t>
  </si>
  <si>
    <t>Dividend payout ratio (of positive net income)</t>
  </si>
  <si>
    <t>Share buybacks</t>
  </si>
  <si>
    <t>Stock issuance (optional; set to zero to switch off)</t>
  </si>
  <si>
    <t>Average price for buybacks and issuance</t>
  </si>
  <si>
    <t>$/sh</t>
  </si>
  <si>
    <t>Northwind Components Inc. (fictional) | Income statement</t>
  </si>
  <si>
    <t>Revenue build, margins and earnings. $ in millions except per share data; fiscal year ends December 31.</t>
  </si>
  <si>
    <t>Industrial Controls</t>
  </si>
  <si>
    <t>Automotive Sensors</t>
  </si>
  <si>
    <t>Aftermarket Services</t>
  </si>
  <si>
    <t>Total revenue</t>
  </si>
  <si>
    <t>Cost of goods sold (excl. D&amp;A)</t>
  </si>
  <si>
    <t>Selling, general and administrative</t>
  </si>
  <si>
    <t>Research and development</t>
  </si>
  <si>
    <t>Depreciation and amortization</t>
  </si>
  <si>
    <t>EBIT (operating income)</t>
  </si>
  <si>
    <t>Interest expense</t>
  </si>
  <si>
    <t>Interest income</t>
  </si>
  <si>
    <t>Pre-tax income</t>
  </si>
  <si>
    <t>Income tax expense</t>
  </si>
  <si>
    <t>Effective tax rate</t>
  </si>
  <si>
    <t>Per share data</t>
  </si>
  <si>
    <t>Weighted average shares outstanding</t>
  </si>
  <si>
    <t>m</t>
  </si>
  <si>
    <t>Dividends per share</t>
  </si>
  <si>
    <t>Northwind Components Inc. (fictional) | Balance sheet</t>
  </si>
  <si>
    <t>Year-end balances. $ in millions except per share data; fiscal year ends December 31.</t>
  </si>
  <si>
    <t>Assets</t>
  </si>
  <si>
    <t>Accounts receivable</t>
  </si>
  <si>
    <t>Inventory</t>
  </si>
  <si>
    <t>Prepaid and other current assets</t>
  </si>
  <si>
    <t>Total current assets</t>
  </si>
  <si>
    <t>Net property, plant and equipment</t>
  </si>
  <si>
    <t>Goodwill and intangibles</t>
  </si>
  <si>
    <t>Total assets</t>
  </si>
  <si>
    <t>Liabilities</t>
  </si>
  <si>
    <t>Accounts payable</t>
  </si>
  <si>
    <t>Accrued liabilities</t>
  </si>
  <si>
    <t>Revolving credit facility</t>
  </si>
  <si>
    <t>Term loan</t>
  </si>
  <si>
    <t>Other long-term liabilities</t>
  </si>
  <si>
    <t>Total liabilities</t>
  </si>
  <si>
    <t>Shareholders' equity</t>
  </si>
  <si>
    <t>Common stock and paid-in capital</t>
  </si>
  <si>
    <t>Retained earnings</t>
  </si>
  <si>
    <t>Treasury stock</t>
  </si>
  <si>
    <t>Total shareholders' equity</t>
  </si>
  <si>
    <t>Total liabilities and equity</t>
  </si>
  <si>
    <t>Balance check (assets less liabilities and equity)</t>
  </si>
  <si>
    <t>Northwind Components Inc. (fictional) | Cash flow statement</t>
  </si>
  <si>
    <t>Indirect method. $ in millions except per share data; fiscal year ends December 31.</t>
  </si>
  <si>
    <t>Operating activities</t>
  </si>
  <si>
    <t>(Increase) / decrease in accounts receivable</t>
  </si>
  <si>
    <t>(Increase) / decrease in inventory</t>
  </si>
  <si>
    <t>(Increase) / decrease in other current assets</t>
  </si>
  <si>
    <t>Increase / (decrease) in accounts payable</t>
  </si>
  <si>
    <t>Increase / (decrease) in accrued liabilities</t>
  </si>
  <si>
    <t>Investing activities</t>
  </si>
  <si>
    <t>Cash flow from investing</t>
  </si>
  <si>
    <t>Financing activities</t>
  </si>
  <si>
    <t>Revolver draw / (repayment)</t>
  </si>
  <si>
    <t>Stock issuance</t>
  </si>
  <si>
    <t>Dividends paid</t>
  </si>
  <si>
    <t>Cash flow from financing</t>
  </si>
  <si>
    <t>Net change in cash</t>
  </si>
  <si>
    <t>Cash, beginning of year</t>
  </si>
  <si>
    <t>Cash, end of year</t>
  </si>
  <si>
    <t>Free cash flow (CFO less capex)</t>
  </si>
  <si>
    <t>Historical cash flows are not presented: the model starts from three balance sheets.</t>
  </si>
  <si>
    <t>Northwind Components Inc. (fictional) | Supporting schedules</t>
  </si>
  <si>
    <t>PP&amp;E, working capital, debt, interest, equity and shares. $ in millions except per share data; fiscal year ends December 31.</t>
  </si>
  <si>
    <t>PP&amp;E roll-forward</t>
  </si>
  <si>
    <t>Opening net PP&amp;E</t>
  </si>
  <si>
    <t>Plus: capital expenditures</t>
  </si>
  <si>
    <t>Less: depreciation and amortization</t>
  </si>
  <si>
    <t>Closing net PP&amp;E</t>
  </si>
  <si>
    <t>Working capital (days based)</t>
  </si>
  <si>
    <t>Net working capital</t>
  </si>
  <si>
    <t>Increase / (decrease) in net working capital</t>
  </si>
  <si>
    <t>Opening balance</t>
  </si>
  <si>
    <t>Less: mandatory amortization</t>
  </si>
  <si>
    <t>Closing balance</t>
  </si>
  <si>
    <t>Cash available before revolver</t>
  </si>
  <si>
    <t>Opening cash</t>
  </si>
  <si>
    <t>Plus: cash flow from operations</t>
  </si>
  <si>
    <t>Plus: cash flow from investing</t>
  </si>
  <si>
    <t>Less: term loan amortization</t>
  </si>
  <si>
    <t>Plus: stock issuance</t>
  </si>
  <si>
    <t>Less: dividends</t>
  </si>
  <si>
    <t>Less: share buybacks</t>
  </si>
  <si>
    <t>Cash before revolver</t>
  </si>
  <si>
    <t>Surplus / (shortfall) versus minimum</t>
  </si>
  <si>
    <t>Draw / (repayment)</t>
  </si>
  <si>
    <t>Cash after revolver</t>
  </si>
  <si>
    <t>Interest (opening balances)</t>
  </si>
  <si>
    <t>Term loan interest expense</t>
  </si>
  <si>
    <t>Revolver interest expense</t>
  </si>
  <si>
    <t>Total interest expense</t>
  </si>
  <si>
    <t>Interest income on cash</t>
  </si>
  <si>
    <t>Plus: net income</t>
  </si>
  <si>
    <t>Paid-in capital and treasury stock</t>
  </si>
  <si>
    <t>Opening paid-in capital</t>
  </si>
  <si>
    <t>Closing paid-in capital</t>
  </si>
  <si>
    <t>Opening treasury stock</t>
  </si>
  <si>
    <t>Closing treasury stock</t>
  </si>
  <si>
    <t>Share count (millions)</t>
  </si>
  <si>
    <t>Opening shares outstanding</t>
  </si>
  <si>
    <t>Less: shares repurchased</t>
  </si>
  <si>
    <t>Plus: shares issued</t>
  </si>
  <si>
    <t>Closing shares outstanding</t>
  </si>
  <si>
    <t>Weighted average shares</t>
  </si>
  <si>
    <t>Northwind Components Inc. (fictional) | Model integrity checks</t>
  </si>
  <si>
    <t>Every row must be zero; status column must read TRUE. $ in millions except per share data; fiscal year ends December 31.</t>
  </si>
  <si>
    <t>Integrity checks (each row should be zero in every year)</t>
  </si>
  <si>
    <t>Balance sheet balances (assets less liabilities and equity)</t>
  </si>
  <si>
    <t>Balance sheet cash ties to cash flow statement ending cash</t>
  </si>
  <si>
    <t>Cash flow ending cash ties to debt schedule cash after revolver</t>
  </si>
  <si>
    <t>Retained earnings roll-forward (prior + net income - dividends)</t>
  </si>
  <si>
    <t>Debt roll-forward (prior debt + financing flows)</t>
  </si>
  <si>
    <t>PP&amp;E roll-forward (prior + capex - D&amp;A)</t>
  </si>
  <si>
    <t>Total equity roll-forward (net income, issuance, dividends, buybacks)</t>
  </si>
  <si>
    <t>Cash flow working capital lines tie to schedule change in NWC</t>
  </si>
  <si>
    <t>Minimum cash maintained (shortfall)</t>
  </si>
  <si>
    <t>Revolver within commitment (excess)</t>
  </si>
  <si>
    <t>No negative debt balances</t>
  </si>
  <si>
    <t>Pass?</t>
  </si>
  <si>
    <t>ALL CHECKS PASS</t>
  </si>
  <si>
    <t>Tolerance is set on the Assumptions sheet (named range Tolerance).</t>
  </si>
  <si>
    <t>Northwind Components Inc. (fictional) | Sensitivity analysis</t>
  </si>
  <si>
    <t>FY2030E EBITDA and free cash flow. $ in millions. Scenario at build time: Base.</t>
  </si>
  <si>
    <t>PYTHON-GENERATED TABLE: static values, not Excel formulas. Each cell is a full re-run of the three-statement model (three_statement.sensitivity) with every segment's growth and the gross margin shifted in every forecast year. It does NOT respond to the scenario dropdown; it reflects the Base scenario selected when the file was built. Rebuild with 'three-statement build --scenario &lt;name&gt;' to refresh.</t>
  </si>
  <si>
    <t>FY2030E EBITDA ($m)</t>
  </si>
  <si>
    <t>Revenue growth shift (pp per year, every segment)</t>
  </si>
  <si>
    <t>Margin shift</t>
  </si>
  <si>
    <t>Gross margin shift (pp, every forecast year)</t>
  </si>
  <si>
    <t>FY2030E free cash flow ($m)</t>
  </si>
  <si>
    <t>Highlighted cell: unshifted model for the scenario above (matches the Summary sheet when that scenario is selected).</t>
  </si>
  <si>
    <t>Northwind Components Inc.</t>
  </si>
  <si>
    <t>Integrated three-statement financial model: income statement, balance sheet, cash flow</t>
  </si>
  <si>
    <t>FICTIONAL COMPANY. All figures are illustrative; this company and its numbers do not exist.</t>
  </si>
  <si>
    <t>Built by Adham Karim | github.com/adhamkarim4815/three-statement-model | v1.0.0</t>
  </si>
  <si>
    <t>Model status</t>
  </si>
  <si>
    <t>Active scenario</t>
  </si>
  <si>
    <t>Model checks</t>
  </si>
  <si>
    <t>Units</t>
  </si>
  <si>
    <t>$ in millions except per share data. Fiscal year ends December 31.</t>
  </si>
  <si>
    <t>Timeline</t>
  </si>
  <si>
    <t>3 actual years (FY2023A to FY2025A) and 5 forecast years (FY2026E to FY2030E). Same column = same year on every sheet.</t>
  </si>
  <si>
    <t>How to use</t>
  </si>
  <si>
    <t>1. Pick a scenario</t>
  </si>
  <si>
    <t>Use the dropdown in Assumptions!C7 (named range Scenario): Base, Upside or Downside. Everything recalculates, including the charts.</t>
  </si>
  <si>
    <t>2. Change drivers</t>
  </si>
  <si>
    <t>Edit blue cells on the Assumptions sheet. Each scenario driver has a live row (CHOOSE on the scenario index) above Base, Upside and Downside input rows.</t>
  </si>
  <si>
    <t>3. Read the output</t>
  </si>
  <si>
    <t>Summary shows ratios and charts. Statements and Schedules show the full build. Checks must read ALL CHECKS PASS.</t>
  </si>
  <si>
    <t>4. Sensitivity</t>
  </si>
  <si>
    <t>The Sensitivity sheet is a static, Python-generated table. It does not update with the dropdown.</t>
  </si>
  <si>
    <t>Sheet guide (click to navigate)</t>
  </si>
  <si>
    <t>Summary</t>
  </si>
  <si>
    <t>Dashboard: key lines, ratios (margins, ROE, ROIC, leverage, coverage, FCF), 3 charts</t>
  </si>
  <si>
    <t>Assumptions</t>
  </si>
  <si>
    <t>Scenario dropdown and every driver (Base, Upside, Downside); history shown for context</t>
  </si>
  <si>
    <t>Income Statement</t>
  </si>
  <si>
    <t>Segment revenue build through net income and per-share data</t>
  </si>
  <si>
    <t>Balance Sheet</t>
  </si>
  <si>
    <t>Assets, liabilities and equity; links to schedules; balance check</t>
  </si>
  <si>
    <t>Cash Flow</t>
  </si>
  <si>
    <t>Operating, investing and financing cash flows; ending cash feeds the balance sheet</t>
  </si>
  <si>
    <t>Schedules</t>
  </si>
  <si>
    <t>PP&amp;E roll-forward, working capital days, term loan, revolver, interest, equity, shares</t>
  </si>
  <si>
    <t>Checks</t>
  </si>
  <si>
    <t>Balance, cash tie-out, roll-forwards and debt-limit tests with TRUE/FALSE status</t>
  </si>
  <si>
    <t>Sensitivity</t>
  </si>
  <si>
    <t>Python-generated two-way sensitivity of FY2030E EBITDA and FCF (static values)</t>
  </si>
  <si>
    <t>Colour code</t>
  </si>
  <si>
    <t>Blue: hard-coded input or historical data point. Change these.</t>
  </si>
  <si>
    <t>Black: formula that calculates from cells on the same sheet.</t>
  </si>
  <si>
    <t>Green: formula that pulls from another sheet or from a named input.</t>
  </si>
  <si>
    <t>Grey fill: static values generated by Python (Sensitivity sheet only).</t>
  </si>
  <si>
    <t>Yellow cell</t>
  </si>
  <si>
    <t>The scenario selector.</t>
  </si>
  <si>
    <t>Conventions</t>
  </si>
  <si>
    <t>Signs</t>
  </si>
  <si>
    <t>Income statement expenses are positive and subtracted. Cash flow outflows are negative.</t>
  </si>
  <si>
    <t>Interest</t>
  </si>
  <si>
    <t>Opening-balance basis: no circular references, so Excel never needs iterative calculation. The Python engine can also run an average-balance basis (iterative).</t>
  </si>
  <si>
    <t>Revolver</t>
  </si>
  <si>
    <t>Draws to keep cash at or above the minimum cash input, repays from any excess, never goes negative and is capped at the commitment.</t>
  </si>
  <si>
    <t>Named ranges</t>
  </si>
  <si>
    <t>Scenario, Scenario_Idx, Days_In_Year, Min_Cash, Revolver_Limit, Tolerance, Model_Checks_OK.</t>
  </si>
  <si>
    <t>Validation</t>
  </si>
  <si>
    <t>The test suite recalculates this workbook in LibreOffice and reconciles every line to the Python engine in all three scenarios.</t>
  </si>
  <si>
    <t>Limitations</t>
  </si>
  <si>
    <t>Simplified model</t>
  </si>
  <si>
    <t>Fictional company; simplified cash taxes (no deferred taxes or loss carry-forwards); no leases; goodwill and other long-term liabilities held flat; no FX; one term loan and one revolver; historical cash flows not presented.</t>
  </si>
</sst>
</file>

<file path=xl/styles.xml><?xml version="1.0" encoding="utf-8"?>
<styleSheet xmlns="http://schemas.openxmlformats.org/spreadsheetml/2006/main">
  <numFmts count="12">
    <numFmt numFmtId="164" formatCode="[&gt;=0.05]#,##0.0_);[&lt;=-0.05]\(#,##0.0\);&quot;-&quot;_)"/>
    <numFmt numFmtId="165" formatCode="0.0%_);(0.0%);0.0%_)"/>
    <numFmt numFmtId="166" formatCode="$#,##0.00_);($#,##0.00)"/>
    <numFmt numFmtId="167" formatCode="0.00&quot;x&quot;_);(0.00&quot;x&quot;)"/>
    <numFmt numFmtId="168" formatCode="&quot;FY&quot;0&quot;A&quot;"/>
    <numFmt numFmtId="169" formatCode="&quot;FY&quot;0&quot;E&quot;"/>
    <numFmt numFmtId="170" formatCode="#,##0_)"/>
    <numFmt numFmtId="171" formatCode="0.000_)"/>
    <numFmt numFmtId="172" formatCode="#,##0.0_);(#,##0.0)"/>
    <numFmt numFmtId="173" formatCode="0.00%_);(0.00%);0.00%_)"/>
    <numFmt numFmtId="174" formatCode="[&gt;=0.0005]#,##0.000_);[&lt;=-0.0005]\(#,##0.000\);&quot;-&quot;_)"/>
    <numFmt numFmtId="175" formatCode="+0.0&quot; pp&quot;;-0.0&quot; pp&quot;;0.0&quot; pp&quot;"/>
  </numFmts>
  <fonts count="29">
    <font>
      <sz val="11"/>
      <color theme="1"/>
      <name val="Calibri"/>
      <family val="2"/>
      <scheme val="minor"/>
    </font>
    <font>
      <b/>
      <sz val="22"/>
      <color rgb="FF1F3A5F"/>
      <name val="Arial"/>
      <family val="2"/>
    </font>
    <font>
      <sz val="12"/>
      <color rgb="FF595959"/>
      <name val="Arial"/>
      <family val="2"/>
    </font>
    <font>
      <b/>
      <sz val="10"/>
      <color rgb="FF9C0006"/>
      <name val="Arial"/>
      <family val="2"/>
    </font>
    <font>
      <i/>
      <sz val="9"/>
      <color rgb="FF595959"/>
      <name val="Arial"/>
      <family val="2"/>
    </font>
    <font>
      <b/>
      <sz val="10"/>
      <color rgb="FF1F3A5F"/>
      <name val="Arial"/>
      <family val="2"/>
    </font>
    <font>
      <b/>
      <sz val="10"/>
      <color theme="1"/>
      <name val="Arial"/>
      <family val="2"/>
    </font>
    <font>
      <b/>
      <sz val="10"/>
      <color rgb="FF008000"/>
      <name val="Arial"/>
      <family val="2"/>
    </font>
    <font>
      <sz val="10"/>
      <color theme="1"/>
      <name val="Arial"/>
      <family val="2"/>
    </font>
    <font>
      <u/>
      <sz val="10"/>
      <color rgb="FF0563C1"/>
      <name val="Arial"/>
      <family val="2"/>
    </font>
    <font>
      <sz val="10"/>
      <color theme="1"/>
      <name val="Arial"/>
      <family val="2"/>
    </font>
    <font>
      <sz val="10"/>
      <color rgb="FF0000FF"/>
      <name val="Arial"/>
      <family val="2"/>
    </font>
    <font>
      <sz val="10"/>
      <color rgb="FF000000"/>
      <name val="Arial"/>
      <family val="2"/>
    </font>
    <font>
      <sz val="10"/>
      <color rgb="FF008000"/>
      <name val="Arial"/>
      <family val="2"/>
    </font>
    <font>
      <sz val="10"/>
      <color rgb="FF404040"/>
      <name val="Arial"/>
      <family val="2"/>
    </font>
    <font>
      <b/>
      <sz val="14"/>
      <color rgb="FF1F3A5F"/>
      <name val="Arial"/>
      <family val="2"/>
    </font>
    <font>
      <b/>
      <sz val="10"/>
      <color rgb="FFFFFFFF"/>
      <name val="Arial"/>
      <family val="2"/>
    </font>
    <font>
      <sz val="9"/>
      <color rgb="FF595959"/>
      <name val="Arial"/>
      <family val="2"/>
    </font>
    <font>
      <i/>
      <sz val="10"/>
      <color theme="1"/>
      <name val="Arial"/>
      <family val="2"/>
    </font>
    <font>
      <i/>
      <sz val="10"/>
      <color rgb="FF008000"/>
      <name val="Arial"/>
      <family val="2"/>
    </font>
    <font>
      <b/>
      <sz val="9"/>
      <color rgb="FF595959"/>
      <name val="Arial"/>
      <family val="2"/>
    </font>
    <font>
      <i/>
      <sz val="10"/>
      <color rgb="FF000000"/>
      <name val="Arial"/>
      <family val="2"/>
    </font>
    <font>
      <b/>
      <sz val="10"/>
      <color rgb="FF9DC3FF"/>
      <name val="Arial"/>
      <family val="2"/>
    </font>
    <font>
      <b/>
      <sz val="10"/>
      <color rgb="FF0000FF"/>
      <name val="Arial"/>
      <family val="2"/>
    </font>
    <font>
      <b/>
      <sz val="10"/>
      <color rgb="FF000000"/>
      <name val="Arial"/>
      <family val="2"/>
    </font>
    <font>
      <b/>
      <sz val="10"/>
      <color rgb="FF7F6000"/>
      <name val="Arial"/>
      <family val="2"/>
    </font>
    <font>
      <b/>
      <sz val="11"/>
      <color rgb="FF1F3A5F"/>
      <name val="Arial"/>
      <family val="2"/>
    </font>
    <font>
      <b/>
      <sz val="10"/>
      <color rgb="FF404040"/>
      <name val="Arial"/>
      <family val="2"/>
    </font>
    <font>
      <i/>
      <sz val="10"/>
      <color rgb="FF595959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E8EEF7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4A7FB5"/>
        <bgColor indexed="64"/>
      </patternFill>
    </fill>
    <fill>
      <patternFill patternType="solid">
        <fgColor rgb="FF1F3A5F"/>
        <bgColor indexed="64"/>
      </patternFill>
    </fill>
    <fill>
      <patternFill patternType="solid">
        <fgColor rgb="FFFFE699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rgb="FF1F3A5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double">
        <color auto="1"/>
      </bottom>
      <diagonal/>
    </border>
    <border>
      <left style="thin">
        <color rgb="FFBF9000"/>
      </left>
      <right style="thin">
        <color rgb="FFBF9000"/>
      </right>
      <top style="thin">
        <color rgb="FFBF9000"/>
      </top>
      <bottom style="thin">
        <color rgb="FFBF9000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75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2" borderId="1" xfId="0" applyFont="1" applyFill="1" applyBorder="1" applyAlignment="1">
      <alignment vertic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horizontal="left" vertical="center"/>
    </xf>
    <xf numFmtId="0" fontId="6" fillId="0" borderId="0" xfId="0" applyFont="1" applyAlignment="1">
      <alignment vertical="top"/>
    </xf>
    <xf numFmtId="0" fontId="8" fillId="0" borderId="0" xfId="0" applyFont="1" applyAlignment="1">
      <alignment vertical="top" wrapText="1"/>
    </xf>
    <xf numFmtId="0" fontId="9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164" fontId="11" fillId="0" borderId="0" xfId="0" applyNumberFormat="1" applyFont="1" applyAlignment="1">
      <alignment horizontal="left" vertical="center"/>
    </xf>
    <xf numFmtId="164" fontId="12" fillId="0" borderId="0" xfId="0" applyNumberFormat="1" applyFont="1" applyAlignment="1">
      <alignment horizontal="left" vertical="center"/>
    </xf>
    <xf numFmtId="164" fontId="13" fillId="0" borderId="0" xfId="0" applyNumberFormat="1" applyFont="1" applyAlignment="1">
      <alignment horizontal="left" vertical="center"/>
    </xf>
    <xf numFmtId="164" fontId="14" fillId="3" borderId="0" xfId="0" applyNumberFormat="1" applyFont="1" applyFill="1" applyAlignment="1">
      <alignment horizontal="left" vertical="center"/>
    </xf>
    <xf numFmtId="0" fontId="6" fillId="4" borderId="2" xfId="0" applyFont="1" applyFill="1" applyBorder="1" applyAlignment="1">
      <alignment vertical="center"/>
    </xf>
    <xf numFmtId="0" fontId="10" fillId="0" borderId="0" xfId="0" applyFont="1" applyAlignment="1">
      <alignment vertical="top" wrapText="1"/>
    </xf>
    <xf numFmtId="0" fontId="15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16" fillId="5" borderId="0" xfId="0" applyFont="1" applyFill="1" applyAlignment="1">
      <alignment horizontal="center" vertical="center"/>
    </xf>
    <xf numFmtId="0" fontId="16" fillId="6" borderId="0" xfId="0" applyFont="1" applyFill="1" applyAlignment="1">
      <alignment horizontal="left" vertical="center"/>
    </xf>
    <xf numFmtId="0" fontId="16" fillId="6" borderId="0" xfId="0" applyFont="1" applyFill="1" applyAlignment="1">
      <alignment horizontal="center" vertical="center"/>
    </xf>
    <xf numFmtId="0" fontId="16" fillId="6" borderId="0" xfId="0" applyFont="1" applyFill="1" applyAlignment="1">
      <alignment horizontal="right" vertical="center"/>
    </xf>
    <xf numFmtId="0" fontId="17" fillId="0" borderId="0" xfId="0" applyFont="1" applyAlignment="1">
      <alignment horizontal="center" vertical="center"/>
    </xf>
    <xf numFmtId="164" fontId="13" fillId="0" borderId="0" xfId="0" applyNumberFormat="1" applyFont="1" applyAlignment="1">
      <alignment horizontal="right" vertical="center"/>
    </xf>
    <xf numFmtId="0" fontId="18" fillId="0" borderId="0" xfId="0" applyFont="1" applyAlignment="1">
      <alignment horizontal="left" vertical="center" indent="1"/>
    </xf>
    <xf numFmtId="165" fontId="19" fillId="0" borderId="0" xfId="0" applyNumberFormat="1" applyFont="1" applyAlignment="1">
      <alignment horizontal="right" vertical="center"/>
    </xf>
    <xf numFmtId="165" fontId="13" fillId="0" borderId="0" xfId="0" applyNumberFormat="1" applyFont="1" applyAlignment="1">
      <alignment horizontal="right" vertical="center"/>
    </xf>
    <xf numFmtId="166" fontId="13" fillId="0" borderId="0" xfId="0" applyNumberFormat="1" applyFont="1" applyAlignment="1">
      <alignment horizontal="right" vertical="center"/>
    </xf>
    <xf numFmtId="0" fontId="6" fillId="0" borderId="3" xfId="0" applyFont="1" applyBorder="1" applyAlignment="1">
      <alignment vertical="center"/>
    </xf>
    <xf numFmtId="0" fontId="20" fillId="0" borderId="3" xfId="0" applyFont="1" applyBorder="1" applyAlignment="1">
      <alignment horizontal="center" vertical="center"/>
    </xf>
    <xf numFmtId="164" fontId="7" fillId="0" borderId="3" xfId="0" applyNumberFormat="1" applyFont="1" applyBorder="1" applyAlignment="1">
      <alignment horizontal="right" vertical="center"/>
    </xf>
    <xf numFmtId="165" fontId="21" fillId="0" borderId="0" xfId="0" applyNumberFormat="1" applyFont="1" applyAlignment="1">
      <alignment horizontal="right" vertical="center"/>
    </xf>
    <xf numFmtId="167" fontId="12" fillId="0" borderId="0" xfId="0" applyNumberFormat="1" applyFont="1" applyAlignment="1">
      <alignment horizontal="right" vertical="center"/>
    </xf>
    <xf numFmtId="167" fontId="13" fillId="0" borderId="0" xfId="0" applyNumberFormat="1" applyFont="1" applyAlignment="1">
      <alignment horizontal="right" vertical="center"/>
    </xf>
    <xf numFmtId="168" fontId="22" fillId="6" borderId="0" xfId="0" applyNumberFormat="1" applyFont="1" applyFill="1" applyAlignment="1">
      <alignment horizontal="right" vertical="center"/>
    </xf>
    <xf numFmtId="168" fontId="16" fillId="6" borderId="0" xfId="0" applyNumberFormat="1" applyFont="1" applyFill="1" applyAlignment="1">
      <alignment horizontal="right" vertical="center"/>
    </xf>
    <xf numFmtId="169" fontId="16" fillId="6" borderId="0" xfId="0" applyNumberFormat="1" applyFont="1" applyFill="1" applyAlignment="1">
      <alignment horizontal="right" vertical="center"/>
    </xf>
    <xf numFmtId="0" fontId="16" fillId="6" borderId="0" xfId="0" applyFont="1" applyFill="1" applyAlignment="1">
      <alignment horizontal="left" vertical="center" indent="1"/>
    </xf>
    <xf numFmtId="0" fontId="23" fillId="4" borderId="2" xfId="0" applyFont="1" applyFill="1" applyBorder="1" applyAlignment="1">
      <alignment horizontal="right" vertical="center"/>
    </xf>
    <xf numFmtId="0" fontId="4" fillId="0" borderId="0" xfId="0" applyFont="1" applyAlignment="1">
      <alignment horizontal="left" vertical="center" indent="1"/>
    </xf>
    <xf numFmtId="170" fontId="12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left" vertical="center" indent="1"/>
    </xf>
    <xf numFmtId="0" fontId="11" fillId="0" borderId="0" xfId="0" applyFont="1" applyAlignment="1">
      <alignment horizontal="right" vertical="center"/>
    </xf>
    <xf numFmtId="170" fontId="11" fillId="0" borderId="0" xfId="0" applyNumberFormat="1" applyFont="1" applyAlignment="1">
      <alignment horizontal="right" vertical="center"/>
    </xf>
    <xf numFmtId="164" fontId="11" fillId="0" borderId="0" xfId="0" applyNumberFormat="1" applyFont="1" applyAlignment="1">
      <alignment horizontal="right" vertical="center"/>
    </xf>
    <xf numFmtId="171" fontId="11" fillId="0" borderId="0" xfId="0" applyNumberFormat="1" applyFont="1" applyAlignment="1">
      <alignment horizontal="right" vertical="center"/>
    </xf>
    <xf numFmtId="165" fontId="12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left" vertical="center" indent="2"/>
    </xf>
    <xf numFmtId="165" fontId="11" fillId="0" borderId="0" xfId="0" applyNumberFormat="1" applyFont="1" applyAlignment="1">
      <alignment horizontal="right" vertical="center"/>
    </xf>
    <xf numFmtId="172" fontId="13" fillId="0" borderId="0" xfId="0" applyNumberFormat="1" applyFont="1" applyAlignment="1">
      <alignment horizontal="right" vertical="center"/>
    </xf>
    <xf numFmtId="172" fontId="12" fillId="0" borderId="0" xfId="0" applyNumberFormat="1" applyFont="1" applyAlignment="1">
      <alignment horizontal="right" vertical="center"/>
    </xf>
    <xf numFmtId="172" fontId="11" fillId="0" borderId="0" xfId="0" applyNumberFormat="1" applyFont="1" applyAlignment="1">
      <alignment horizontal="right" vertical="center"/>
    </xf>
    <xf numFmtId="173" fontId="11" fillId="0" borderId="0" xfId="0" applyNumberFormat="1" applyFont="1" applyAlignment="1">
      <alignment horizontal="right" vertical="center"/>
    </xf>
    <xf numFmtId="166" fontId="11" fillId="0" borderId="0" xfId="0" applyNumberFormat="1" applyFont="1" applyAlignment="1">
      <alignment horizontal="right" vertical="center"/>
    </xf>
    <xf numFmtId="164" fontId="24" fillId="0" borderId="3" xfId="0" applyNumberFormat="1" applyFont="1" applyBorder="1" applyAlignment="1">
      <alignment horizontal="right" vertical="center"/>
    </xf>
    <xf numFmtId="0" fontId="6" fillId="0" borderId="4" xfId="0" applyFont="1" applyBorder="1" applyAlignment="1">
      <alignment vertical="center"/>
    </xf>
    <xf numFmtId="0" fontId="20" fillId="0" borderId="4" xfId="0" applyFont="1" applyBorder="1" applyAlignment="1">
      <alignment horizontal="center" vertical="center"/>
    </xf>
    <xf numFmtId="164" fontId="24" fillId="0" borderId="4" xfId="0" applyNumberFormat="1" applyFont="1" applyBorder="1" applyAlignment="1">
      <alignment horizontal="right" vertical="center"/>
    </xf>
    <xf numFmtId="166" fontId="12" fillId="0" borderId="0" xfId="0" applyNumberFormat="1" applyFont="1" applyAlignment="1">
      <alignment horizontal="right" vertical="center"/>
    </xf>
    <xf numFmtId="164" fontId="12" fillId="0" borderId="0" xfId="0" applyNumberFormat="1" applyFont="1" applyAlignment="1">
      <alignment horizontal="right" vertical="center"/>
    </xf>
    <xf numFmtId="0" fontId="18" fillId="0" borderId="0" xfId="0" applyFont="1" applyAlignment="1">
      <alignment vertical="center"/>
    </xf>
    <xf numFmtId="164" fontId="21" fillId="0" borderId="0" xfId="0" applyNumberFormat="1" applyFont="1" applyAlignment="1">
      <alignment horizontal="right" vertical="center"/>
    </xf>
    <xf numFmtId="164" fontId="23" fillId="0" borderId="3" xfId="0" applyNumberFormat="1" applyFont="1" applyBorder="1" applyAlignment="1">
      <alignment horizontal="right" vertical="center"/>
    </xf>
    <xf numFmtId="174" fontId="13" fillId="0" borderId="0" xfId="0" applyNumberFormat="1" applyFont="1" applyAlignment="1">
      <alignment horizontal="right" vertical="center"/>
    </xf>
    <xf numFmtId="0" fontId="7" fillId="0" borderId="0" xfId="0" applyFont="1" applyAlignment="1">
      <alignment horizontal="center" vertical="center"/>
    </xf>
    <xf numFmtId="0" fontId="24" fillId="0" borderId="4" xfId="0" applyFont="1" applyBorder="1" applyAlignment="1">
      <alignment horizontal="center" vertical="center"/>
    </xf>
    <xf numFmtId="0" fontId="25" fillId="4" borderId="5" xfId="0" applyFont="1" applyFill="1" applyBorder="1" applyAlignment="1">
      <alignment vertical="center" wrapText="1"/>
    </xf>
    <xf numFmtId="0" fontId="26" fillId="0" borderId="0" xfId="0" applyFont="1" applyAlignment="1">
      <alignment vertical="center"/>
    </xf>
    <xf numFmtId="0" fontId="16" fillId="6" borderId="0" xfId="0" applyFont="1" applyFill="1" applyAlignment="1">
      <alignment horizontal="center" vertical="center" wrapText="1"/>
    </xf>
    <xf numFmtId="175" fontId="27" fillId="2" borderId="0" xfId="0" applyNumberFormat="1" applyFont="1" applyFill="1" applyAlignment="1">
      <alignment horizontal="center" vertical="center"/>
    </xf>
    <xf numFmtId="164" fontId="14" fillId="3" borderId="6" xfId="0" applyNumberFormat="1" applyFont="1" applyFill="1" applyBorder="1" applyAlignment="1">
      <alignment horizontal="right" vertical="center"/>
    </xf>
    <xf numFmtId="0" fontId="28" fillId="0" borderId="0" xfId="0" applyFont="1" applyAlignment="1">
      <alignment horizontal="right" vertical="center"/>
    </xf>
    <xf numFmtId="164" fontId="27" fillId="7" borderId="7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="1" baseline="0">
                <a:solidFill>
                  <a:srgbClr val="1F3A5F"/>
                </a:solidFill>
                <a:latin typeface="Arial"/>
              </a:defRPr>
            </a:pPr>
            <a:r>
              <a:rPr lang="en-US" sz="1100" b="1" baseline="0">
                <a:solidFill>
                  <a:srgbClr val="1F3A5F"/>
                </a:solidFill>
                <a:latin typeface="Arial"/>
              </a:rPr>
              <a:t>Revenue by segment ($m)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'Income Statement'!$A$7</c:f>
              <c:strCache>
                <c:ptCount val="1"/>
                <c:pt idx="0">
                  <c:v>Industrial Controls</c:v>
                </c:pt>
              </c:strCache>
            </c:strRef>
          </c:tx>
          <c:spPr>
            <a:solidFill>
              <a:srgbClr val="1F3A5F"/>
            </a:solidFill>
          </c:spPr>
          <c:cat>
            <c:strRef>
              <c:f>Summary!$C$5:$J$5</c:f>
              <c:strCache>
                <c:ptCount val="8"/>
                <c:pt idx="0">
                  <c:v>FY2023A</c:v>
                </c:pt>
                <c:pt idx="1">
                  <c:v>FY2024A</c:v>
                </c:pt>
                <c:pt idx="2">
                  <c:v>FY2025A</c:v>
                </c:pt>
                <c:pt idx="3">
                  <c:v>FY2026E</c:v>
                </c:pt>
                <c:pt idx="4">
                  <c:v>FY2027E</c:v>
                </c:pt>
                <c:pt idx="5">
                  <c:v>FY2028E</c:v>
                </c:pt>
                <c:pt idx="6">
                  <c:v>FY2029E</c:v>
                </c:pt>
                <c:pt idx="7">
                  <c:v>FY2030E</c:v>
                </c:pt>
              </c:strCache>
            </c:strRef>
          </c:cat>
          <c:val>
            <c:numRef>
              <c:f>'Income Statement'!$C$7:$J$7</c:f>
              <c:numCache>
                <c:formatCode>General</c:formatCode>
                <c:ptCount val="8"/>
                <c:pt idx="0">
                  <c:v>310</c:v>
                </c:pt>
                <c:pt idx="1">
                  <c:v>332.5</c:v>
                </c:pt>
                <c:pt idx="2">
                  <c:v>356.8</c:v>
                </c:pt>
                <c:pt idx="3">
                  <c:v>379.992</c:v>
                </c:pt>
                <c:pt idx="4">
                  <c:v>402.79152000000005</c:v>
                </c:pt>
                <c:pt idx="5">
                  <c:v>424.94505360000005</c:v>
                </c:pt>
                <c:pt idx="6">
                  <c:v>446.1923062800001</c:v>
                </c:pt>
                <c:pt idx="7">
                  <c:v>466.27096006260007</c:v>
                </c:pt>
              </c:numCache>
            </c:numRef>
          </c:val>
        </c:ser>
        <c:ser>
          <c:idx val="1"/>
          <c:order val="1"/>
          <c:tx>
            <c:strRef>
              <c:f>'Income Statement'!$A$8</c:f>
              <c:strCache>
                <c:ptCount val="1"/>
                <c:pt idx="0">
                  <c:v>Automotive Sensors</c:v>
                </c:pt>
              </c:strCache>
            </c:strRef>
          </c:tx>
          <c:spPr>
            <a:solidFill>
              <a:srgbClr val="4A7FB5"/>
            </a:solidFill>
          </c:spPr>
          <c:cat>
            <c:strRef>
              <c:f>Summary!$C$5:$J$5</c:f>
              <c:strCache>
                <c:ptCount val="8"/>
                <c:pt idx="0">
                  <c:v>FY2023A</c:v>
                </c:pt>
                <c:pt idx="1">
                  <c:v>FY2024A</c:v>
                </c:pt>
                <c:pt idx="2">
                  <c:v>FY2025A</c:v>
                </c:pt>
                <c:pt idx="3">
                  <c:v>FY2026E</c:v>
                </c:pt>
                <c:pt idx="4">
                  <c:v>FY2027E</c:v>
                </c:pt>
                <c:pt idx="5">
                  <c:v>FY2028E</c:v>
                </c:pt>
                <c:pt idx="6">
                  <c:v>FY2029E</c:v>
                </c:pt>
                <c:pt idx="7">
                  <c:v>FY2030E</c:v>
                </c:pt>
              </c:strCache>
            </c:strRef>
          </c:cat>
          <c:val>
            <c:numRef>
              <c:f>'Income Statement'!$C$8:$J$8</c:f>
              <c:numCache>
                <c:formatCode>General</c:formatCode>
                <c:ptCount val="8"/>
                <c:pt idx="0">
                  <c:v>255</c:v>
                </c:pt>
                <c:pt idx="1">
                  <c:v>281.4</c:v>
                </c:pt>
                <c:pt idx="2">
                  <c:v>311.2</c:v>
                </c:pt>
                <c:pt idx="3">
                  <c:v>339.208</c:v>
                </c:pt>
                <c:pt idx="4">
                  <c:v>368.04068</c:v>
                </c:pt>
                <c:pt idx="5">
                  <c:v>397.4839344</c:v>
                </c:pt>
                <c:pt idx="6">
                  <c:v>425.30780980800006</c:v>
                </c:pt>
                <c:pt idx="7">
                  <c:v>450.82627839648006</c:v>
                </c:pt>
              </c:numCache>
            </c:numRef>
          </c:val>
        </c:ser>
        <c:ser>
          <c:idx val="2"/>
          <c:order val="2"/>
          <c:tx>
            <c:strRef>
              <c:f>'Income Statement'!$A$9</c:f>
              <c:strCache>
                <c:ptCount val="1"/>
                <c:pt idx="0">
                  <c:v>Aftermarket Services</c:v>
                </c:pt>
              </c:strCache>
            </c:strRef>
          </c:tx>
          <c:spPr>
            <a:solidFill>
              <a:srgbClr val="9DC3E6"/>
            </a:solidFill>
          </c:spPr>
          <c:cat>
            <c:strRef>
              <c:f>Summary!$C$5:$J$5</c:f>
              <c:strCache>
                <c:ptCount val="8"/>
                <c:pt idx="0">
                  <c:v>FY2023A</c:v>
                </c:pt>
                <c:pt idx="1">
                  <c:v>FY2024A</c:v>
                </c:pt>
                <c:pt idx="2">
                  <c:v>FY2025A</c:v>
                </c:pt>
                <c:pt idx="3">
                  <c:v>FY2026E</c:v>
                </c:pt>
                <c:pt idx="4">
                  <c:v>FY2027E</c:v>
                </c:pt>
                <c:pt idx="5">
                  <c:v>FY2028E</c:v>
                </c:pt>
                <c:pt idx="6">
                  <c:v>FY2029E</c:v>
                </c:pt>
                <c:pt idx="7">
                  <c:v>FY2030E</c:v>
                </c:pt>
              </c:strCache>
            </c:strRef>
          </c:cat>
          <c:val>
            <c:numRef>
              <c:f>'Income Statement'!$C$9:$J$9</c:f>
              <c:numCache>
                <c:formatCode>General</c:formatCode>
                <c:ptCount val="8"/>
                <c:pt idx="0">
                  <c:v>118</c:v>
                </c:pt>
                <c:pt idx="1">
                  <c:v>129.9</c:v>
                </c:pt>
                <c:pt idx="2">
                  <c:v>142.7</c:v>
                </c:pt>
                <c:pt idx="3">
                  <c:v>152.689</c:v>
                </c:pt>
                <c:pt idx="4">
                  <c:v>163.37723</c:v>
                </c:pt>
                <c:pt idx="5">
                  <c:v>173.99674994999998</c:v>
                </c:pt>
                <c:pt idx="6">
                  <c:v>184.436554947</c:v>
                </c:pt>
                <c:pt idx="7">
                  <c:v>194.58056546908497</c:v>
                </c:pt>
              </c:numCache>
            </c:numRef>
          </c:val>
        </c:ser>
        <c:gapWidth val="6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spPr>
          <a:ln>
            <a:solidFill>
              <a:srgbClr val="808080"/>
            </a:solidFill>
          </a:ln>
        </c:spPr>
        <c:txPr>
          <a:bodyPr/>
          <a:lstStyle/>
          <a:p>
            <a:pPr>
              <a:defRPr sz="900" baseline="0">
                <a:solidFill>
                  <a:srgbClr val="404040"/>
                </a:solidFill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>
          <c:spPr>
            <a:ln w="6350">
              <a:solidFill>
                <a:srgbClr val="D9D9D9"/>
              </a:solidFill>
            </a:ln>
          </c:spPr>
        </c:majorGridlines>
        <c:numFmt formatCode="#,##0" sourceLinked="0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404040"/>
                </a:solidFill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900" baseline="0">
              <a:solidFill>
                <a:srgbClr val="404040"/>
              </a:solidFill>
              <a:latin typeface="Arial"/>
            </a:defRPr>
          </a:pPr>
          <a:endParaRPr lang="en-US"/>
        </a:p>
      </c:txPr>
    </c:legend>
    <c:plotVisOnly val="1"/>
  </c:chart>
  <c:spPr>
    <a:ln w="9525">
      <a:solidFill>
        <a:srgbClr val="BFBFBF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="1" baseline="0">
                <a:solidFill>
                  <a:srgbClr val="1F3A5F"/>
                </a:solidFill>
                <a:latin typeface="Arial"/>
              </a:defRPr>
            </a:pPr>
            <a:r>
              <a:rPr lang="en-US" sz="1100" b="1" baseline="0">
                <a:solidFill>
                  <a:srgbClr val="1F3A5F"/>
                </a:solidFill>
                <a:latin typeface="Arial"/>
              </a:rPr>
              <a:t>EBITDA ($m) and EBITDA margin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EBITDA ($m)</c:v>
          </c:tx>
          <c:spPr>
            <a:solidFill>
              <a:srgbClr val="1F3A5F"/>
            </a:solidFill>
          </c:spPr>
          <c:cat>
            <c:strRef>
              <c:f>Summary!$C$5:$J$5</c:f>
              <c:strCache>
                <c:ptCount val="8"/>
                <c:pt idx="0">
                  <c:v>FY2023A</c:v>
                </c:pt>
                <c:pt idx="1">
                  <c:v>FY2024A</c:v>
                </c:pt>
                <c:pt idx="2">
                  <c:v>FY2025A</c:v>
                </c:pt>
                <c:pt idx="3">
                  <c:v>FY2026E</c:v>
                </c:pt>
                <c:pt idx="4">
                  <c:v>FY2027E</c:v>
                </c:pt>
                <c:pt idx="5">
                  <c:v>FY2028E</c:v>
                </c:pt>
                <c:pt idx="6">
                  <c:v>FY2029E</c:v>
                </c:pt>
                <c:pt idx="7">
                  <c:v>FY2030E</c:v>
                </c:pt>
              </c:strCache>
            </c:strRef>
          </c:cat>
          <c:val>
            <c:numRef>
              <c:f>Summary!$C$11:$J$11</c:f>
              <c:numCache>
                <c:formatCode>General</c:formatCode>
                <c:ptCount val="8"/>
                <c:pt idx="0">
                  <c:v>112.69999999999997</c:v>
                </c:pt>
                <c:pt idx="1">
                  <c:v>127.89999999999993</c:v>
                </c:pt>
                <c:pt idx="2">
                  <c:v>144.40000000000003</c:v>
                </c:pt>
                <c:pt idx="3">
                  <c:v>158.68379800000002</c:v>
                </c:pt>
                <c:pt idx="4">
                  <c:v>172.82874455000004</c:v>
                </c:pt>
                <c:pt idx="5">
                  <c:v>188.32446447255</c:v>
                </c:pt>
                <c:pt idx="6">
                  <c:v>202.73984083871994</c:v>
                </c:pt>
                <c:pt idx="7">
                  <c:v>214.55381615813596</c:v>
                </c:pt>
              </c:numCache>
            </c:numRef>
          </c:val>
        </c:ser>
        <c:gapWidth val="60"/>
        <c:axId val="50020001"/>
        <c:axId val="50020002"/>
      </c:barChart>
      <c:lineChart>
        <c:grouping val="standard"/>
        <c:ser>
          <c:idx val="1"/>
          <c:order val="1"/>
          <c:tx>
            <c:v>EBITDA margin (right axis)</c:v>
          </c:tx>
          <c:spPr>
            <a:ln w="28575">
              <a:solidFill>
                <a:srgbClr val="E07B39"/>
              </a:solidFill>
            </a:ln>
          </c:spPr>
          <c:marker>
            <c:symbol val="circle"/>
            <c:size val="6"/>
            <c:spPr>
              <a:solidFill>
                <a:srgbClr val="E07B39"/>
              </a:solidFill>
              <a:ln>
                <a:solidFill>
                  <a:srgbClr val="E07B39"/>
                </a:solidFill>
              </a:ln>
            </c:spPr>
          </c:marker>
          <c:cat>
            <c:strRef>
              <c:f>Summary!$C$5:$J$5</c:f>
              <c:strCache>
                <c:ptCount val="8"/>
                <c:pt idx="0">
                  <c:v>FY2023A</c:v>
                </c:pt>
                <c:pt idx="1">
                  <c:v>FY2024A</c:v>
                </c:pt>
                <c:pt idx="2">
                  <c:v>FY2025A</c:v>
                </c:pt>
                <c:pt idx="3">
                  <c:v>FY2026E</c:v>
                </c:pt>
                <c:pt idx="4">
                  <c:v>FY2027E</c:v>
                </c:pt>
                <c:pt idx="5">
                  <c:v>FY2028E</c:v>
                </c:pt>
                <c:pt idx="6">
                  <c:v>FY2029E</c:v>
                </c:pt>
                <c:pt idx="7">
                  <c:v>FY2030E</c:v>
                </c:pt>
              </c:strCache>
            </c:strRef>
          </c:cat>
          <c:val>
            <c:numRef>
              <c:f>Summary!$C$12:$J$12</c:f>
              <c:numCache>
                <c:formatCode>General</c:formatCode>
                <c:ptCount val="8"/>
                <c:pt idx="0">
                  <c:v>0.16500732064421667</c:v>
                </c:pt>
                <c:pt idx="1">
                  <c:v>0.1719548265662812</c:v>
                </c:pt>
                <c:pt idx="2">
                  <c:v>0.17811767608239795</c:v>
                </c:pt>
                <c:pt idx="3">
                  <c:v>0.18200000000000002</c:v>
                </c:pt>
                <c:pt idx="4">
                  <c:v>0.18500000000000003</c:v>
                </c:pt>
                <c:pt idx="5">
                  <c:v>0.189</c:v>
                </c:pt>
                <c:pt idx="6">
                  <c:v>0.19199999999999995</c:v>
                </c:pt>
                <c:pt idx="7">
                  <c:v>0.1930000000000001</c:v>
                </c:pt>
              </c:numCache>
            </c:numRef>
          </c:val>
        </c:ser>
        <c:marker val="1"/>
        <c:axId val="60020001"/>
        <c:axId val="60020002"/>
      </c:lineChart>
      <c:catAx>
        <c:axId val="50020001"/>
        <c:scaling>
          <c:orientation val="minMax"/>
        </c:scaling>
        <c:axPos val="b"/>
        <c:tickLblPos val="nextTo"/>
        <c:spPr>
          <a:ln>
            <a:solidFill>
              <a:srgbClr val="808080"/>
            </a:solidFill>
          </a:ln>
        </c:spPr>
        <c:txPr>
          <a:bodyPr/>
          <a:lstStyle/>
          <a:p>
            <a:pPr>
              <a:defRPr sz="900" baseline="0">
                <a:solidFill>
                  <a:srgbClr val="404040"/>
                </a:solidFill>
                <a:latin typeface="Arial"/>
              </a:defRPr>
            </a:pPr>
            <a:endParaRPr lang="en-US"/>
          </a:p>
        </c:txPr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>
          <c:spPr>
            <a:ln w="6350">
              <a:solidFill>
                <a:srgbClr val="D9D9D9"/>
              </a:solidFill>
            </a:ln>
          </c:spPr>
        </c:majorGridlines>
        <c:numFmt formatCode="#,##0" sourceLinked="0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404040"/>
                </a:solidFill>
                <a:latin typeface="Arial"/>
              </a:defRPr>
            </a:pPr>
            <a:endParaRPr lang="en-US"/>
          </a:p>
        </c:txPr>
        <c:crossAx val="50020001"/>
        <c:crosses val="autoZero"/>
        <c:crossBetween val="between"/>
      </c:valAx>
      <c:valAx>
        <c:axId val="60020002"/>
        <c:scaling>
          <c:orientation val="minMax"/>
          <c:max val="0.25"/>
          <c:min val="0.1"/>
        </c:scaling>
        <c:axPos val="r"/>
        <c:numFmt formatCode="0%" sourceLinked="0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404040"/>
                </a:solidFill>
                <a:latin typeface="Arial"/>
              </a:defRPr>
            </a:pPr>
            <a:endParaRPr lang="en-US"/>
          </a:p>
        </c:txPr>
        <c:crossAx val="60020001"/>
        <c:crosses val="max"/>
        <c:crossBetween val="between"/>
      </c:valAx>
      <c:catAx>
        <c:axId val="60020001"/>
        <c:scaling>
          <c:orientation val="minMax"/>
        </c:scaling>
        <c:delete val="1"/>
        <c:axPos val="b"/>
        <c:tickLblPos val="none"/>
        <c:crossAx val="60020002"/>
        <c:crosses val="autoZero"/>
        <c:auto val="1"/>
        <c:lblAlgn val="ctr"/>
        <c:lblOffset val="100"/>
      </c:catAx>
    </c:plotArea>
    <c:legend>
      <c:legendPos val="b"/>
      <c:layout/>
      <c:txPr>
        <a:bodyPr/>
        <a:lstStyle/>
        <a:p>
          <a:pPr>
            <a:defRPr sz="900" baseline="0">
              <a:solidFill>
                <a:srgbClr val="404040"/>
              </a:solidFill>
              <a:latin typeface="Arial"/>
            </a:defRPr>
          </a:pPr>
          <a:endParaRPr lang="en-US"/>
        </a:p>
      </c:txPr>
    </c:legend>
    <c:plotVisOnly val="1"/>
  </c:chart>
  <c:spPr>
    <a:ln w="9525">
      <a:solidFill>
        <a:srgbClr val="BFBFBF"/>
      </a:solidFill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="1" baseline="0">
                <a:solidFill>
                  <a:srgbClr val="1F3A5F"/>
                </a:solidFill>
                <a:latin typeface="Arial"/>
              </a:defRPr>
            </a:pPr>
            <a:r>
              <a:rPr lang="en-US" sz="1100" b="1" baseline="0">
                <a:solidFill>
                  <a:srgbClr val="1F3A5F"/>
                </a:solidFill>
                <a:latin typeface="Arial"/>
              </a:rPr>
              <a:t>Debt and cash ($m): the revolver draws to defend minimum cash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v>Term loan</c:v>
          </c:tx>
          <c:spPr>
            <a:solidFill>
              <a:srgbClr val="1F3A5F"/>
            </a:solidFill>
          </c:spPr>
          <c:cat>
            <c:strRef>
              <c:f>Summary!$C$5:$J$5</c:f>
              <c:strCache>
                <c:ptCount val="8"/>
                <c:pt idx="0">
                  <c:v>FY2023A</c:v>
                </c:pt>
                <c:pt idx="1">
                  <c:v>FY2024A</c:v>
                </c:pt>
                <c:pt idx="2">
                  <c:v>FY2025A</c:v>
                </c:pt>
                <c:pt idx="3">
                  <c:v>FY2026E</c:v>
                </c:pt>
                <c:pt idx="4">
                  <c:v>FY2027E</c:v>
                </c:pt>
                <c:pt idx="5">
                  <c:v>FY2028E</c:v>
                </c:pt>
                <c:pt idx="6">
                  <c:v>FY2029E</c:v>
                </c:pt>
                <c:pt idx="7">
                  <c:v>FY2030E</c:v>
                </c:pt>
              </c:strCache>
            </c:strRef>
          </c:cat>
          <c:val>
            <c:numRef>
              <c:f>Schedules!$C$24:$J$24</c:f>
              <c:numCache>
                <c:formatCode>General</c:formatCode>
                <c:ptCount val="8"/>
                <c:pt idx="0">
                  <c:v>210.0</c:v>
                </c:pt>
                <c:pt idx="1">
                  <c:v>195.0</c:v>
                </c:pt>
                <c:pt idx="2">
                  <c:v>180.0</c:v>
                </c:pt>
                <c:pt idx="3">
                  <c:v>155.0</c:v>
                </c:pt>
                <c:pt idx="4">
                  <c:v>130.0</c:v>
                </c:pt>
                <c:pt idx="5">
                  <c:v>105.0</c:v>
                </c:pt>
                <c:pt idx="6">
                  <c:v>80.0</c:v>
                </c:pt>
                <c:pt idx="7">
                  <c:v>55.0</c:v>
                </c:pt>
              </c:numCache>
            </c:numRef>
          </c:val>
        </c:ser>
        <c:ser>
          <c:idx val="1"/>
          <c:order val="1"/>
          <c:tx>
            <c:v>Revolver</c:v>
          </c:tx>
          <c:spPr>
            <a:solidFill>
              <a:srgbClr val="E07B39"/>
            </a:solidFill>
          </c:spPr>
          <c:cat>
            <c:strRef>
              <c:f>Summary!$C$5:$J$5</c:f>
              <c:strCache>
                <c:ptCount val="8"/>
                <c:pt idx="0">
                  <c:v>FY2023A</c:v>
                </c:pt>
                <c:pt idx="1">
                  <c:v>FY2024A</c:v>
                </c:pt>
                <c:pt idx="2">
                  <c:v>FY2025A</c:v>
                </c:pt>
                <c:pt idx="3">
                  <c:v>FY2026E</c:v>
                </c:pt>
                <c:pt idx="4">
                  <c:v>FY2027E</c:v>
                </c:pt>
                <c:pt idx="5">
                  <c:v>FY2028E</c:v>
                </c:pt>
                <c:pt idx="6">
                  <c:v>FY2029E</c:v>
                </c:pt>
                <c:pt idx="7">
                  <c:v>FY2030E</c:v>
                </c:pt>
              </c:strCache>
            </c:strRef>
          </c:cat>
          <c:val>
            <c:numRef>
              <c:f>Schedules!$C$41:$J$41</c:f>
              <c:numCache>
                <c:formatCode>General</c:formatCode>
                <c:ptCount val="8"/>
                <c:pt idx="0">
                  <c:v>15.0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3.589400838269242</c:v>
                </c:pt>
                <c:pt idx="5">
                  <c:v>7.633634057435984</c:v>
                </c:pt>
                <c:pt idx="6">
                  <c:v>5.059050322575544</c:v>
                </c:pt>
                <c:pt idx="7">
                  <c:v>0.0</c:v>
                </c:pt>
              </c:numCache>
            </c:numRef>
          </c:val>
        </c:ser>
        <c:gapWidth val="80"/>
        <c:overlap val="100"/>
        <c:axId val="50030001"/>
        <c:axId val="50030002"/>
      </c:barChart>
      <c:lineChart>
        <c:grouping val="standard"/>
        <c:ser>
          <c:idx val="2"/>
          <c:order val="2"/>
          <c:tx>
            <c:v>Cash</c:v>
          </c:tx>
          <c:spPr>
            <a:ln w="28575">
              <a:solidFill>
                <a:srgbClr val="2E8B57"/>
              </a:solidFill>
            </a:ln>
          </c:spPr>
          <c:marker>
            <c:symbol val="diamond"/>
            <c:size val="7"/>
            <c:spPr>
              <a:solidFill>
                <a:srgbClr val="2E8B57"/>
              </a:solidFill>
              <a:ln>
                <a:solidFill>
                  <a:srgbClr val="2E8B57"/>
                </a:solidFill>
              </a:ln>
            </c:spPr>
          </c:marker>
          <c:cat>
            <c:strRef>
              <c:f>Summary!$C$5:$J$5</c:f>
              <c:strCache>
                <c:ptCount val="8"/>
                <c:pt idx="0">
                  <c:v>FY2023A</c:v>
                </c:pt>
                <c:pt idx="1">
                  <c:v>FY2024A</c:v>
                </c:pt>
                <c:pt idx="2">
                  <c:v>FY2025A</c:v>
                </c:pt>
                <c:pt idx="3">
                  <c:v>FY2026E</c:v>
                </c:pt>
                <c:pt idx="4">
                  <c:v>FY2027E</c:v>
                </c:pt>
                <c:pt idx="5">
                  <c:v>FY2028E</c:v>
                </c:pt>
                <c:pt idx="6">
                  <c:v>FY2029E</c:v>
                </c:pt>
                <c:pt idx="7">
                  <c:v>FY2030E</c:v>
                </c:pt>
              </c:strCache>
            </c:strRef>
          </c:cat>
          <c:val>
            <c:numRef>
              <c:f>'Balance Sheet'!$C$7:$J$7</c:f>
              <c:numCache>
                <c:formatCode>General</c:formatCode>
                <c:ptCount val="8"/>
                <c:pt idx="0">
                  <c:v>118.2</c:v>
                </c:pt>
                <c:pt idx="1">
                  <c:v>92.59999999999999</c:v>
                </c:pt>
                <c:pt idx="2">
                  <c:v>88.59999999999999</c:v>
                </c:pt>
                <c:pt idx="3">
                  <c:v>68.19350222123289</c:v>
                </c:pt>
                <c:pt idx="4">
                  <c:v>60.0</c:v>
                </c:pt>
                <c:pt idx="5">
                  <c:v>60.0</c:v>
                </c:pt>
                <c:pt idx="6">
                  <c:v>60.0</c:v>
                </c:pt>
                <c:pt idx="7">
                  <c:v>64.8004924732946</c:v>
                </c:pt>
              </c:numCache>
            </c:numRef>
          </c:val>
        </c:ser>
        <c:marker val="1"/>
        <c:axId val="50030001"/>
        <c:axId val="50030002"/>
      </c:lineChart>
      <c:catAx>
        <c:axId val="50030001"/>
        <c:scaling>
          <c:orientation val="minMax"/>
        </c:scaling>
        <c:axPos val="b"/>
        <c:tickLblPos val="nextTo"/>
        <c:spPr>
          <a:ln>
            <a:solidFill>
              <a:srgbClr val="808080"/>
            </a:solidFill>
          </a:ln>
        </c:spPr>
        <c:txPr>
          <a:bodyPr/>
          <a:lstStyle/>
          <a:p>
            <a:pPr>
              <a:defRPr sz="900" baseline="0">
                <a:solidFill>
                  <a:srgbClr val="404040"/>
                </a:solidFill>
                <a:latin typeface="Arial"/>
              </a:defRPr>
            </a:pPr>
            <a:endParaRPr lang="en-US"/>
          </a:p>
        </c:txPr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>
          <c:spPr>
            <a:ln w="6350">
              <a:solidFill>
                <a:srgbClr val="D9D9D9"/>
              </a:solidFill>
            </a:ln>
          </c:spPr>
        </c:majorGridlines>
        <c:numFmt formatCode="#,##0" sourceLinked="0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404040"/>
                </a:solidFill>
                <a:latin typeface="Arial"/>
              </a:defRPr>
            </a:pPr>
            <a:endParaRPr lang="en-US"/>
          </a:p>
        </c:txPr>
        <c:crossAx val="5003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900" baseline="0">
              <a:solidFill>
                <a:srgbClr val="404040"/>
              </a:solidFill>
              <a:latin typeface="Arial"/>
            </a:defRPr>
          </a:pPr>
          <a:endParaRPr lang="en-US"/>
        </a:p>
      </c:txPr>
    </c:legend>
    <c:plotVisOnly val="1"/>
  </c:chart>
  <c:spPr>
    <a:ln w="9525">
      <a:solidFill>
        <a:srgbClr val="BFBFBF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36</xdr:row>
      <xdr:rowOff>38100</xdr:rowOff>
    </xdr:from>
    <xdr:to>
      <xdr:col>3</xdr:col>
      <xdr:colOff>676275</xdr:colOff>
      <xdr:row>51</xdr:row>
      <xdr:rowOff>38100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57150</xdr:colOff>
      <xdr:row>36</xdr:row>
      <xdr:rowOff>38100</xdr:rowOff>
    </xdr:from>
    <xdr:to>
      <xdr:col>9</xdr:col>
      <xdr:colOff>723900</xdr:colOff>
      <xdr:row>51</xdr:row>
      <xdr:rowOff>38100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19050</xdr:colOff>
      <xdr:row>51</xdr:row>
      <xdr:rowOff>95250</xdr:rowOff>
    </xdr:from>
    <xdr:to>
      <xdr:col>9</xdr:col>
      <xdr:colOff>695325</xdr:colOff>
      <xdr:row>66</xdr:row>
      <xdr:rowOff>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1F3A5F"/>
    <pageSetUpPr fitToPage="1"/>
  </sheetPr>
  <dimension ref="B2:C44"/>
  <sheetViews>
    <sheetView showGridLines="0" tabSelected="1" workbookViewId="0"/>
  </sheetViews>
  <sheetFormatPr defaultRowHeight="15"/>
  <cols>
    <col min="1" max="1" width="3.7109375" customWidth="1"/>
    <col min="2" max="2" width="26.7109375" customWidth="1"/>
    <col min="3" max="3" width="96.7109375" customWidth="1"/>
  </cols>
  <sheetData>
    <row r="2" spans="2:3">
      <c r="B2" s="1" t="s">
        <v>227</v>
      </c>
    </row>
    <row r="3" spans="2:3">
      <c r="B3" s="2" t="s">
        <v>228</v>
      </c>
    </row>
    <row r="4" spans="2:3">
      <c r="B4" s="3" t="s">
        <v>229</v>
      </c>
    </row>
    <row r="5" spans="2:3">
      <c r="B5" s="4" t="s">
        <v>230</v>
      </c>
    </row>
    <row r="7" spans="2:3">
      <c r="B7" s="5" t="s">
        <v>231</v>
      </c>
      <c r="C7" s="5"/>
    </row>
    <row r="8" spans="2:3">
      <c r="B8" s="6" t="s">
        <v>232</v>
      </c>
      <c r="C8" s="7" t="str">
        <f>Scenario</f>
        <v>Base</v>
      </c>
    </row>
    <row r="9" spans="2:3">
      <c r="B9" s="6" t="s">
        <v>233</v>
      </c>
      <c r="C9" s="7" t="str">
        <f>IF(Model_Checks_OK,"ALL CHECKS PASS","CHECK ERRORS: see Checks sheet")</f>
        <v>ALL CHECKS PASS</v>
      </c>
    </row>
    <row r="10" spans="2:3">
      <c r="B10" s="8" t="s">
        <v>234</v>
      </c>
      <c r="C10" s="9" t="s">
        <v>235</v>
      </c>
    </row>
    <row r="11" spans="2:3">
      <c r="B11" s="8" t="s">
        <v>236</v>
      </c>
      <c r="C11" s="9" t="s">
        <v>237</v>
      </c>
    </row>
    <row r="13" spans="2:3">
      <c r="B13" s="5" t="s">
        <v>238</v>
      </c>
      <c r="C13" s="5"/>
    </row>
    <row r="14" spans="2:3">
      <c r="B14" s="8" t="s">
        <v>239</v>
      </c>
      <c r="C14" s="9" t="s">
        <v>240</v>
      </c>
    </row>
    <row r="15" spans="2:3">
      <c r="B15" s="8" t="s">
        <v>241</v>
      </c>
      <c r="C15" s="9" t="s">
        <v>242</v>
      </c>
    </row>
    <row r="16" spans="2:3">
      <c r="B16" s="8" t="s">
        <v>243</v>
      </c>
      <c r="C16" s="9" t="s">
        <v>244</v>
      </c>
    </row>
    <row r="17" spans="2:3">
      <c r="B17" s="8" t="s">
        <v>245</v>
      </c>
      <c r="C17" s="9" t="s">
        <v>246</v>
      </c>
    </row>
    <row r="19" spans="2:3">
      <c r="B19" s="5" t="s">
        <v>247</v>
      </c>
      <c r="C19" s="5"/>
    </row>
    <row r="20" spans="2:3">
      <c r="B20" s="10" t="s">
        <v>248</v>
      </c>
      <c r="C20" s="11" t="s">
        <v>249</v>
      </c>
    </row>
    <row r="21" spans="2:3">
      <c r="B21" s="10" t="s">
        <v>250</v>
      </c>
      <c r="C21" s="11" t="s">
        <v>251</v>
      </c>
    </row>
    <row r="22" spans="2:3">
      <c r="B22" s="10" t="s">
        <v>252</v>
      </c>
      <c r="C22" s="11" t="s">
        <v>253</v>
      </c>
    </row>
    <row r="23" spans="2:3">
      <c r="B23" s="10" t="s">
        <v>254</v>
      </c>
      <c r="C23" s="11" t="s">
        <v>255</v>
      </c>
    </row>
    <row r="24" spans="2:3">
      <c r="B24" s="10" t="s">
        <v>256</v>
      </c>
      <c r="C24" s="11" t="s">
        <v>257</v>
      </c>
    </row>
    <row r="25" spans="2:3">
      <c r="B25" s="10" t="s">
        <v>258</v>
      </c>
      <c r="C25" s="11" t="s">
        <v>259</v>
      </c>
    </row>
    <row r="26" spans="2:3">
      <c r="B26" s="10" t="s">
        <v>260</v>
      </c>
      <c r="C26" s="11" t="s">
        <v>261</v>
      </c>
    </row>
    <row r="27" spans="2:3">
      <c r="B27" s="10" t="s">
        <v>262</v>
      </c>
      <c r="C27" s="11" t="s">
        <v>263</v>
      </c>
    </row>
    <row r="29" spans="2:3">
      <c r="B29" s="5" t="s">
        <v>264</v>
      </c>
      <c r="C29" s="5"/>
    </row>
    <row r="30" spans="2:3">
      <c r="B30" s="12">
        <v>1234.5</v>
      </c>
      <c r="C30" s="11" t="s">
        <v>265</v>
      </c>
    </row>
    <row r="31" spans="2:3">
      <c r="B31" s="13">
        <v>1234.5</v>
      </c>
      <c r="C31" s="11" t="s">
        <v>266</v>
      </c>
    </row>
    <row r="32" spans="2:3">
      <c r="B32" s="14">
        <v>1234.5</v>
      </c>
      <c r="C32" s="11" t="s">
        <v>267</v>
      </c>
    </row>
    <row r="33" spans="2:3">
      <c r="B33" s="15">
        <v>1234.5</v>
      </c>
      <c r="C33" s="11" t="s">
        <v>268</v>
      </c>
    </row>
    <row r="34" spans="2:3">
      <c r="B34" s="16" t="s">
        <v>269</v>
      </c>
      <c r="C34" s="11" t="s">
        <v>270</v>
      </c>
    </row>
    <row r="36" spans="2:3">
      <c r="B36" s="5" t="s">
        <v>271</v>
      </c>
      <c r="C36" s="5"/>
    </row>
    <row r="37" spans="2:3">
      <c r="B37" s="8" t="s">
        <v>272</v>
      </c>
      <c r="C37" s="9" t="s">
        <v>273</v>
      </c>
    </row>
    <row r="38" spans="2:3" ht="30" customHeight="1">
      <c r="B38" s="8" t="s">
        <v>274</v>
      </c>
      <c r="C38" s="9" t="s">
        <v>275</v>
      </c>
    </row>
    <row r="39" spans="2:3" ht="30" customHeight="1">
      <c r="B39" s="8" t="s">
        <v>276</v>
      </c>
      <c r="C39" s="9" t="s">
        <v>277</v>
      </c>
    </row>
    <row r="40" spans="2:3">
      <c r="B40" s="8" t="s">
        <v>278</v>
      </c>
      <c r="C40" s="9" t="s">
        <v>279</v>
      </c>
    </row>
    <row r="41" spans="2:3" ht="30" customHeight="1">
      <c r="B41" s="8" t="s">
        <v>280</v>
      </c>
      <c r="C41" s="9" t="s">
        <v>281</v>
      </c>
    </row>
    <row r="43" spans="2:3">
      <c r="B43" s="5" t="s">
        <v>282</v>
      </c>
      <c r="C43" s="5"/>
    </row>
    <row r="44" spans="2:3" ht="45" customHeight="1">
      <c r="B44" s="8" t="s">
        <v>283</v>
      </c>
      <c r="C44" s="17" t="s">
        <v>284</v>
      </c>
    </row>
  </sheetData>
  <hyperlinks>
    <hyperlink ref="B20" location="'Summary'!A1" display="Summary"/>
    <hyperlink ref="B21" location="'Assumptions'!A1" display="Assumptions"/>
    <hyperlink ref="B22" location="'Income Statement'!A1" display="Income Statement"/>
    <hyperlink ref="B23" location="'Balance Sheet'!A1" display="Balance Sheet"/>
    <hyperlink ref="B24" location="'Cash Flow'!A1" display="Cash Flow"/>
    <hyperlink ref="B25" location="'Schedules'!A1" display="Schedules"/>
    <hyperlink ref="B26" location="'Checks'!A1" display="Checks"/>
    <hyperlink ref="B27" location="'Sensitivity'!A1" display="Sensitivity"/>
  </hyperlinks>
  <printOptions horizontalCentered="1"/>
  <pageMargins left="0.7" right="0.7" top="0.75" bottom="0.75" header="0.3" footer="0.3"/>
  <pageSetup paperSize="1"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4A7FB5"/>
    <pageSetUpPr fitToPage="1"/>
  </sheetPr>
  <dimension ref="A1:J35"/>
  <sheetViews>
    <sheetView showGridLines="0" zoomScale="90" zoomScaleNormal="90" workbookViewId="0">
      <pane xSplit="2" ySplit="5" topLeftCell="C6" activePane="bottomRight" state="frozen"/>
      <selection pane="topRight" activeCell="C1" sqref="C1"/>
      <selection pane="bottomLeft" activeCell="A6" sqref="A6"/>
      <selection pane="bottomRight"/>
    </sheetView>
  </sheetViews>
  <sheetFormatPr defaultRowHeight="15"/>
  <cols>
    <col min="1" max="1" width="44.7109375" customWidth="1"/>
    <col min="2" max="2" width="7.7109375" customWidth="1"/>
    <col min="3" max="10" width="11.7109375" customWidth="1"/>
  </cols>
  <sheetData>
    <row r="1" spans="1:10">
      <c r="A1" s="18" t="s">
        <v>0</v>
      </c>
    </row>
    <row r="2" spans="1:10">
      <c r="A2" s="4" t="s">
        <v>1</v>
      </c>
    </row>
    <row r="3" spans="1:10">
      <c r="A3" s="19" t="str">
        <f>"Scenario: "&amp;Scenario</f>
        <v>Scenario: Base</v>
      </c>
    </row>
    <row r="4" spans="1:10">
      <c r="C4" s="20" t="s">
        <v>2</v>
      </c>
      <c r="D4" s="20"/>
      <c r="E4" s="20"/>
      <c r="F4" s="20" t="s">
        <v>3</v>
      </c>
      <c r="G4" s="20"/>
      <c r="H4" s="20"/>
      <c r="I4" s="20"/>
      <c r="J4" s="20"/>
    </row>
    <row r="5" spans="1:10">
      <c r="A5" s="21" t="s">
        <v>4</v>
      </c>
      <c r="B5" s="22" t="s">
        <v>5</v>
      </c>
      <c r="C5" s="23" t="str">
        <f>"FY"&amp;Assumptions!C$5&amp;"A"</f>
        <v>FY2023A</v>
      </c>
      <c r="D5" s="23" t="str">
        <f>"FY"&amp;Assumptions!D$5&amp;"A"</f>
        <v>FY2024A</v>
      </c>
      <c r="E5" s="23" t="str">
        <f>"FY"&amp;Assumptions!E$5&amp;"A"</f>
        <v>FY2025A</v>
      </c>
      <c r="F5" s="23" t="str">
        <f>"FY"&amp;Assumptions!F$5&amp;"E"</f>
        <v>FY2026E</v>
      </c>
      <c r="G5" s="23" t="str">
        <f>"FY"&amp;Assumptions!G$5&amp;"E"</f>
        <v>FY2027E</v>
      </c>
      <c r="H5" s="23" t="str">
        <f>"FY"&amp;Assumptions!H$5&amp;"E"</f>
        <v>FY2028E</v>
      </c>
      <c r="I5" s="23" t="str">
        <f>"FY"&amp;Assumptions!I$5&amp;"E"</f>
        <v>FY2029E</v>
      </c>
      <c r="J5" s="23" t="str">
        <f>"FY"&amp;Assumptions!J$5&amp;"E"</f>
        <v>FY2030E</v>
      </c>
    </row>
    <row r="6" spans="1:10">
      <c r="A6" s="5" t="s">
        <v>6</v>
      </c>
      <c r="B6" s="5"/>
      <c r="C6" s="5"/>
      <c r="D6" s="5"/>
      <c r="E6" s="5"/>
      <c r="F6" s="5"/>
      <c r="G6" s="5"/>
      <c r="H6" s="5"/>
      <c r="I6" s="5"/>
      <c r="J6" s="5"/>
    </row>
    <row r="7" spans="1:10">
      <c r="A7" s="11" t="s">
        <v>7</v>
      </c>
      <c r="B7" s="24" t="s">
        <v>8</v>
      </c>
      <c r="C7" s="25">
        <f>'Income Statement'!C10</f>
        <v>683.0</v>
      </c>
      <c r="D7" s="25">
        <f>'Income Statement'!D10</f>
        <v>743.8</v>
      </c>
      <c r="E7" s="25">
        <f>'Income Statement'!E10</f>
        <v>810.7</v>
      </c>
      <c r="F7" s="25">
        <f>'Income Statement'!F10</f>
        <v>871.889</v>
      </c>
      <c r="G7" s="25">
        <f>'Income Statement'!G10</f>
        <v>934.2094300000001</v>
      </c>
      <c r="H7" s="25">
        <f>'Income Statement'!H10</f>
        <v>996.42573795</v>
      </c>
      <c r="I7" s="25">
        <f>'Income Statement'!I10</f>
        <v>1055.936671035</v>
      </c>
      <c r="J7" s="25">
        <f>'Income Statement'!J10</f>
        <v>1111.677803928165</v>
      </c>
    </row>
    <row r="8" spans="1:10">
      <c r="A8" s="26" t="s">
        <v>9</v>
      </c>
      <c r="B8" s="24" t="s">
        <v>10</v>
      </c>
      <c r="D8" s="27">
        <f>'Income Statement'!D11</f>
        <v>0.08901903367496322</v>
      </c>
      <c r="E8" s="27">
        <f>'Income Statement'!E11</f>
        <v>0.08994353320785176</v>
      </c>
      <c r="F8" s="27">
        <f>'Income Statement'!F11</f>
        <v>0.07547674848896002</v>
      </c>
      <c r="G8" s="27">
        <f>'Income Statement'!G11</f>
        <v>0.0714774816519077</v>
      </c>
      <c r="H8" s="27">
        <f>'Income Statement'!H11</f>
        <v>0.06659781624126815</v>
      </c>
      <c r="I8" s="27">
        <f>'Income Statement'!I11</f>
        <v>0.059724403754799704</v>
      </c>
      <c r="J8" s="27">
        <f>'Income Statement'!J11</f>
        <v>0.052788329472949425</v>
      </c>
    </row>
    <row r="9" spans="1:10">
      <c r="A9" s="11" t="s">
        <v>11</v>
      </c>
      <c r="B9" s="24" t="s">
        <v>8</v>
      </c>
      <c r="C9" s="25">
        <f>'Income Statement'!C14</f>
        <v>245.89999999999998</v>
      </c>
      <c r="D9" s="25">
        <f>'Income Statement'!D14</f>
        <v>271.49999999999994</v>
      </c>
      <c r="E9" s="25">
        <f>'Income Statement'!E14</f>
        <v>300.00000000000006</v>
      </c>
      <c r="F9" s="25">
        <f>'Income Statement'!F14</f>
        <v>325.214597</v>
      </c>
      <c r="G9" s="25">
        <f>'Income Statement'!G14</f>
        <v>350.32853625000007</v>
      </c>
      <c r="H9" s="25">
        <f>'Income Statement'!H14</f>
        <v>376.6489289451</v>
      </c>
      <c r="I9" s="25">
        <f>'Income Statement'!I14</f>
        <v>401.2559349933</v>
      </c>
      <c r="J9" s="25">
        <f>'Income Statement'!J14</f>
        <v>422.4375654927028</v>
      </c>
    </row>
    <row r="10" spans="1:10">
      <c r="A10" s="26" t="s">
        <v>12</v>
      </c>
      <c r="B10" s="24" t="s">
        <v>10</v>
      </c>
      <c r="C10" s="27">
        <f>'Income Statement'!C15</f>
        <v>0.3600292825768667</v>
      </c>
      <c r="D10" s="27">
        <f>'Income Statement'!D15</f>
        <v>0.3650174778166173</v>
      </c>
      <c r="E10" s="27">
        <f>'Income Statement'!E15</f>
        <v>0.3700505735783891</v>
      </c>
      <c r="F10" s="27">
        <f>'Income Statement'!F15</f>
        <v>0.373</v>
      </c>
      <c r="G10" s="27">
        <f>'Income Statement'!G15</f>
        <v>0.37500000000000006</v>
      </c>
      <c r="H10" s="27">
        <f>'Income Statement'!H15</f>
        <v>0.378</v>
      </c>
      <c r="I10" s="27">
        <f>'Income Statement'!I15</f>
        <v>0.38</v>
      </c>
      <c r="J10" s="27">
        <f>'Income Statement'!J15</f>
        <v>0.38000000000000006</v>
      </c>
    </row>
    <row r="11" spans="1:10">
      <c r="A11" s="11" t="s">
        <v>13</v>
      </c>
      <c r="B11" s="24" t="s">
        <v>8</v>
      </c>
      <c r="C11" s="25">
        <f>'Income Statement'!C18</f>
        <v>112.69999999999997</v>
      </c>
      <c r="D11" s="25">
        <f>'Income Statement'!D18</f>
        <v>127.89999999999993</v>
      </c>
      <c r="E11" s="25">
        <f>'Income Statement'!E18</f>
        <v>144.40000000000003</v>
      </c>
      <c r="F11" s="25">
        <f>'Income Statement'!F18</f>
        <v>158.68379800000002</v>
      </c>
      <c r="G11" s="25">
        <f>'Income Statement'!G18</f>
        <v>172.82874455000004</v>
      </c>
      <c r="H11" s="25">
        <f>'Income Statement'!H18</f>
        <v>188.32446447255</v>
      </c>
      <c r="I11" s="25">
        <f>'Income Statement'!I18</f>
        <v>202.73984083871994</v>
      </c>
      <c r="J11" s="25">
        <f>'Income Statement'!J18</f>
        <v>214.55381615813596</v>
      </c>
    </row>
    <row r="12" spans="1:10">
      <c r="A12" s="26" t="s">
        <v>12</v>
      </c>
      <c r="B12" s="24" t="s">
        <v>10</v>
      </c>
      <c r="C12" s="27">
        <f>'Income Statement'!C19</f>
        <v>0.16500732064421667</v>
      </c>
      <c r="D12" s="27">
        <f>'Income Statement'!D19</f>
        <v>0.1719548265662812</v>
      </c>
      <c r="E12" s="27">
        <f>'Income Statement'!E19</f>
        <v>0.17811767608239795</v>
      </c>
      <c r="F12" s="27">
        <f>'Income Statement'!F19</f>
        <v>0.18200000000000002</v>
      </c>
      <c r="G12" s="27">
        <f>'Income Statement'!G19</f>
        <v>0.18500000000000003</v>
      </c>
      <c r="H12" s="27">
        <f>'Income Statement'!H19</f>
        <v>0.189</v>
      </c>
      <c r="I12" s="27">
        <f>'Income Statement'!I19</f>
        <v>0.19199999999999995</v>
      </c>
      <c r="J12" s="27">
        <f>'Income Statement'!J19</f>
        <v>0.1930000000000001</v>
      </c>
    </row>
    <row r="13" spans="1:10">
      <c r="A13" s="11" t="s">
        <v>14</v>
      </c>
      <c r="B13" s="24" t="s">
        <v>10</v>
      </c>
      <c r="C13" s="28">
        <f>'Income Statement'!C22</f>
        <v>0.12035139092240113</v>
      </c>
      <c r="D13" s="28">
        <f>'Income Statement'!D22</f>
        <v>0.1278569507932239</v>
      </c>
      <c r="E13" s="28">
        <f>'Income Statement'!E22</f>
        <v>0.13445170840014806</v>
      </c>
      <c r="F13" s="28">
        <f>'Income Statement'!F22</f>
        <v>0.1390931620882934</v>
      </c>
      <c r="G13" s="28">
        <f>'Income Statement'!G22</f>
        <v>0.14196564117855245</v>
      </c>
      <c r="H13" s="28">
        <f>'Income Statement'!H22</f>
        <v>0.1459384297502178</v>
      </c>
      <c r="I13" s="28">
        <f>'Income Statement'!I22</f>
        <v>0.14904766031405298</v>
      </c>
      <c r="J13" s="28">
        <f>'Income Statement'!J22</f>
        <v>0.1501288461621912</v>
      </c>
    </row>
    <row r="14" spans="1:10">
      <c r="A14" s="11" t="s">
        <v>15</v>
      </c>
      <c r="B14" s="24" t="s">
        <v>8</v>
      </c>
      <c r="C14" s="25">
        <f>'Income Statement'!C27</f>
        <v>52.09999999999999</v>
      </c>
      <c r="D14" s="25">
        <f>'Income Statement'!D27</f>
        <v>62.59999999999993</v>
      </c>
      <c r="E14" s="25">
        <f>'Income Statement'!E27</f>
        <v>73.90000000000003</v>
      </c>
      <c r="F14" s="25">
        <f>'Income Statement'!F27</f>
        <v>83.50409850000003</v>
      </c>
      <c r="G14" s="25">
        <f>'Income Statement'!G27</f>
        <v>92.90098371039814</v>
      </c>
      <c r="H14" s="25">
        <f>'Income Statement'!H27</f>
        <v>103.41118199876286</v>
      </c>
      <c r="I14" s="25">
        <f>'Income Statement'!I27</f>
        <v>113.43296384130937</v>
      </c>
      <c r="J14" s="25">
        <f>'Income Statement'!J27</f>
        <v>121.9710936446005</v>
      </c>
    </row>
    <row r="15" spans="1:10">
      <c r="A15" s="26" t="s">
        <v>12</v>
      </c>
      <c r="B15" s="24" t="s">
        <v>10</v>
      </c>
      <c r="C15" s="27">
        <f>'Income Statement'!C28</f>
        <v>0.07628111273792092</v>
      </c>
      <c r="D15" s="27">
        <f>'Income Statement'!D28</f>
        <v>0.08416240924979825</v>
      </c>
      <c r="E15" s="27">
        <f>'Income Statement'!E28</f>
        <v>0.09115579129147654</v>
      </c>
      <c r="F15" s="27">
        <f>'Income Statement'!F28</f>
        <v>0.09577377223476845</v>
      </c>
      <c r="G15" s="27">
        <f>'Income Statement'!G28</f>
        <v>0.09944342320586308</v>
      </c>
      <c r="H15" s="27">
        <f>'Income Statement'!H28</f>
        <v>0.10378212651503384</v>
      </c>
      <c r="I15" s="27">
        <f>'Income Statement'!I28</f>
        <v>0.10742402167937355</v>
      </c>
      <c r="J15" s="27">
        <f>'Income Statement'!J28</f>
        <v>0.10971802550488098</v>
      </c>
    </row>
    <row r="16" spans="1:10">
      <c r="A16" s="11" t="s">
        <v>16</v>
      </c>
      <c r="B16" s="24" t="s">
        <v>17</v>
      </c>
      <c r="C16" s="29">
        <f>'Income Statement'!C33</f>
        <v>1.2464114832535882</v>
      </c>
      <c r="D16" s="29">
        <f>'Income Statement'!D33</f>
        <v>1.523114355231142</v>
      </c>
      <c r="E16" s="29">
        <f>'Income Statement'!E33</f>
        <v>1.8292079207920802</v>
      </c>
      <c r="F16" s="29">
        <f>'Income Statement'!F33</f>
        <v>2.11116456704289</v>
      </c>
      <c r="G16" s="29">
        <f>'Income Statement'!G33</f>
        <v>2.4015714746823833</v>
      </c>
      <c r="H16" s="29">
        <f>'Income Statement'!H33</f>
        <v>2.7316654429222824</v>
      </c>
      <c r="I16" s="29">
        <f>'Income Statement'!I33</f>
        <v>3.0664440589765958</v>
      </c>
      <c r="J16" s="29">
        <f>'Income Statement'!J33</f>
        <v>3.37973234182234</v>
      </c>
    </row>
    <row r="18" spans="1:10">
      <c r="A18" s="5" t="s">
        <v>18</v>
      </c>
      <c r="B18" s="5"/>
      <c r="C18" s="5"/>
      <c r="D18" s="5"/>
      <c r="E18" s="5"/>
      <c r="F18" s="5"/>
      <c r="G18" s="5"/>
      <c r="H18" s="5"/>
      <c r="I18" s="5"/>
      <c r="J18" s="5"/>
    </row>
    <row r="19" spans="1:10">
      <c r="A19" s="11" t="s">
        <v>19</v>
      </c>
      <c r="B19" s="24" t="s">
        <v>8</v>
      </c>
      <c r="F19" s="25">
        <f>'Cash Flow'!F14</f>
        <v>111.3175167712329</v>
      </c>
      <c r="G19" s="25">
        <f>'Cash Flow'!G14</f>
        <v>124.94258614361729</v>
      </c>
      <c r="H19" s="25">
        <f>'Cash Flow'!H14</f>
        <v>136.7646656574621</v>
      </c>
      <c r="I19" s="25">
        <f>'Cash Flow'!I14</f>
        <v>152.84879980728323</v>
      </c>
      <c r="J19" s="25">
        <f>'Cash Flow'!J14</f>
        <v>162.59315010529934</v>
      </c>
    </row>
    <row r="20" spans="1:10">
      <c r="A20" s="11" t="s">
        <v>20</v>
      </c>
      <c r="B20" s="24" t="s">
        <v>8</v>
      </c>
      <c r="F20" s="25">
        <f>'Cash Flow'!F17</f>
        <v>-56.672785000000005</v>
      </c>
      <c r="G20" s="25">
        <f>'Cash Flow'!G17</f>
        <v>-58.855194090000005</v>
      </c>
      <c r="H20" s="25">
        <f>'Cash Flow'!H17</f>
        <v>-59.785544277</v>
      </c>
      <c r="I20" s="25">
        <f>'Cash Flow'!I17</f>
        <v>-61.244326920030005</v>
      </c>
      <c r="J20" s="25">
        <f>'Cash Flow'!J17</f>
        <v>-61.14227921604908</v>
      </c>
    </row>
    <row r="21" spans="1:10">
      <c r="A21" s="30" t="s">
        <v>21</v>
      </c>
      <c r="B21" s="31" t="s">
        <v>8</v>
      </c>
      <c r="F21" s="32">
        <f>'Cash Flow'!F32</f>
        <v>54.6447317712329</v>
      </c>
      <c r="G21" s="32">
        <f>'Cash Flow'!G32</f>
        <v>66.0873920536173</v>
      </c>
      <c r="H21" s="32">
        <f>'Cash Flow'!H32</f>
        <v>76.9791213804621</v>
      </c>
      <c r="I21" s="32">
        <f>'Cash Flow'!I32</f>
        <v>91.60447288725322</v>
      </c>
      <c r="J21" s="32">
        <f>'Cash Flow'!J32</f>
        <v>101.45087088925027</v>
      </c>
    </row>
    <row r="22" spans="1:10">
      <c r="A22" s="26" t="s">
        <v>22</v>
      </c>
      <c r="B22" s="24" t="s">
        <v>10</v>
      </c>
      <c r="F22" s="27">
        <f>F21/'Income Statement'!F10</f>
        <v>0.06267395479382455</v>
      </c>
      <c r="G22" s="27">
        <f>G21/'Income Statement'!G10</f>
        <v>0.07074151676419846</v>
      </c>
      <c r="H22" s="27">
        <f>H21/'Income Statement'!H10</f>
        <v>0.07725525189547529</v>
      </c>
      <c r="I22" s="27">
        <f>I21/'Income Statement'!I10</f>
        <v>0.08675186249329238</v>
      </c>
      <c r="J22" s="27">
        <f>J21/'Income Statement'!J10</f>
        <v>0.09125923944039263</v>
      </c>
    </row>
    <row r="23" spans="1:10">
      <c r="A23" s="26" t="s">
        <v>23</v>
      </c>
      <c r="B23" s="24" t="s">
        <v>10</v>
      </c>
      <c r="F23" s="33">
        <f>F21/F11</f>
        <v>0.34436238897705795</v>
      </c>
      <c r="G23" s="33">
        <f>G21/G11</f>
        <v>0.3823865771037754</v>
      </c>
      <c r="H23" s="33">
        <f>H21/H11</f>
        <v>0.4087579465369063</v>
      </c>
      <c r="I23" s="33">
        <f>I21/I11</f>
        <v>0.45183261715256456</v>
      </c>
      <c r="J23" s="33">
        <f>J21/J11</f>
        <v>0.472845800209288</v>
      </c>
    </row>
    <row r="25" spans="1:10">
      <c r="A25" s="5" t="s">
        <v>24</v>
      </c>
      <c r="B25" s="5"/>
      <c r="C25" s="5"/>
      <c r="D25" s="5"/>
      <c r="E25" s="5"/>
      <c r="F25" s="5"/>
      <c r="G25" s="5"/>
      <c r="H25" s="5"/>
      <c r="I25" s="5"/>
      <c r="J25" s="5"/>
    </row>
    <row r="26" spans="1:10">
      <c r="A26" s="11" t="s">
        <v>25</v>
      </c>
      <c r="B26" s="24" t="s">
        <v>8</v>
      </c>
      <c r="C26" s="25">
        <f>'Balance Sheet'!C7</f>
        <v>118.2</v>
      </c>
      <c r="D26" s="25">
        <f>'Balance Sheet'!D7</f>
        <v>92.6</v>
      </c>
      <c r="E26" s="25">
        <f>'Balance Sheet'!E7</f>
        <v>88.6</v>
      </c>
      <c r="F26" s="25">
        <f>'Balance Sheet'!F7</f>
        <v>68.19350222123289</v>
      </c>
      <c r="G26" s="25">
        <f>'Balance Sheet'!G7</f>
        <v>60.0</v>
      </c>
      <c r="H26" s="25">
        <f>'Balance Sheet'!H7</f>
        <v>60.0</v>
      </c>
      <c r="I26" s="25">
        <f>'Balance Sheet'!I7</f>
        <v>60.0</v>
      </c>
      <c r="J26" s="25">
        <f>'Balance Sheet'!J7</f>
        <v>64.8004924732946</v>
      </c>
    </row>
    <row r="27" spans="1:10">
      <c r="A27" s="11" t="s">
        <v>26</v>
      </c>
      <c r="B27" s="24" t="s">
        <v>8</v>
      </c>
      <c r="C27" s="25">
        <f>Schedules!C44</f>
        <v>225.0</v>
      </c>
      <c r="D27" s="25">
        <f>Schedules!D44</f>
        <v>195.0</v>
      </c>
      <c r="E27" s="25">
        <f>Schedules!E44</f>
        <v>180.0</v>
      </c>
      <c r="F27" s="25">
        <f>Schedules!F44</f>
        <v>155.0</v>
      </c>
      <c r="G27" s="25">
        <f>Schedules!G44</f>
        <v>133.58940083826923</v>
      </c>
      <c r="H27" s="25">
        <f>Schedules!H44</f>
        <v>112.63363405743598</v>
      </c>
      <c r="I27" s="25">
        <f>Schedules!I44</f>
        <v>85.05905032257554</v>
      </c>
      <c r="J27" s="25">
        <f>Schedules!J44</f>
        <v>55.0</v>
      </c>
    </row>
    <row r="28" spans="1:10">
      <c r="A28" s="11" t="s">
        <v>27</v>
      </c>
      <c r="B28" s="24" t="s">
        <v>8</v>
      </c>
      <c r="C28" s="25">
        <f>Schedules!C45</f>
        <v>106.8</v>
      </c>
      <c r="D28" s="25">
        <f>Schedules!D45</f>
        <v>102.4</v>
      </c>
      <c r="E28" s="25">
        <f>Schedules!E45</f>
        <v>91.4</v>
      </c>
      <c r="F28" s="25">
        <f>Schedules!F45</f>
        <v>86.80649777876711</v>
      </c>
      <c r="G28" s="25">
        <f>Schedules!G45</f>
        <v>73.58940083826923</v>
      </c>
      <c r="H28" s="25">
        <f>Schedules!H45</f>
        <v>52.633634057435984</v>
      </c>
      <c r="I28" s="25">
        <f>Schedules!I45</f>
        <v>25.059050322575544</v>
      </c>
      <c r="J28" s="25">
        <f>Schedules!J45</f>
        <v>-9.800492473294597</v>
      </c>
    </row>
    <row r="29" spans="1:10">
      <c r="A29" s="11" t="s">
        <v>28</v>
      </c>
      <c r="B29" s="24" t="s">
        <v>29</v>
      </c>
      <c r="C29" s="34">
        <f>C28/C11</f>
        <v>0.9476486246672584</v>
      </c>
      <c r="D29" s="34">
        <f>D28/D11</f>
        <v>0.8006254886630184</v>
      </c>
      <c r="E29" s="34">
        <f>E28/E11</f>
        <v>0.6329639889196674</v>
      </c>
      <c r="F29" s="34">
        <f>F28/F11</f>
        <v>0.5470407116091782</v>
      </c>
      <c r="G29" s="34">
        <f>G28/G11</f>
        <v>0.4257937591913683</v>
      </c>
      <c r="H29" s="34">
        <f>H28/H11</f>
        <v>0.27948378456750006</v>
      </c>
      <c r="I29" s="34">
        <f>I28/I11</f>
        <v>0.12360200254132626</v>
      </c>
      <c r="J29" s="34">
        <f>J28/J11</f>
        <v>-0.04567848127236845</v>
      </c>
    </row>
    <row r="30" spans="1:10">
      <c r="A30" s="11" t="s">
        <v>30</v>
      </c>
      <c r="B30" s="24" t="s">
        <v>29</v>
      </c>
      <c r="C30" s="35">
        <f>IF('Income Statement'!C23&gt;0,'Income Statement'!C21/'Income Statement'!C23,"n.m.")</f>
        <v>5.630136986301368</v>
      </c>
      <c r="D30" s="35">
        <f>IF('Income Statement'!D23&gt;0,'Income Statement'!D21/'Income Statement'!D23,"n.m.")</f>
        <v>6.841726618705032</v>
      </c>
      <c r="E30" s="35">
        <f>IF('Income Statement'!E23&gt;0,'Income Statement'!E21/'Income Statement'!E23,"n.m.")</f>
        <v>8.320610687022903</v>
      </c>
      <c r="F30" s="35">
        <f>IF('Income Statement'!F23&gt;0,'Income Statement'!F21/'Income Statement'!F23,"n.m.")</f>
        <v>9.981382551440332</v>
      </c>
      <c r="G30" s="35">
        <f>IF('Income Statement'!G23&gt;0,'Income Statement'!G21/'Income Statement'!G23,"n.m.")</f>
        <v>12.676285851851855</v>
      </c>
      <c r="H30" s="35">
        <f>IF('Income Statement'!H23&gt;0,'Income Statement'!H21/'Income Statement'!H23,"n.m.")</f>
        <v>16.094419559808113</v>
      </c>
      <c r="I30" s="35">
        <f>IF('Income Statement'!I23&gt;0,'Income Statement'!I21/'Income Statement'!I23,"n.m.")</f>
        <v>20.597586395011753</v>
      </c>
      <c r="J30" s="35">
        <f>IF('Income Statement'!J23&gt;0,'Income Statement'!J21/'Income Statement'!J23,"n.m.")</f>
        <v>28.940738639707764</v>
      </c>
    </row>
    <row r="31" spans="1:10">
      <c r="A31" s="11" t="s">
        <v>31</v>
      </c>
      <c r="B31" s="24" t="s">
        <v>8</v>
      </c>
      <c r="C31" s="25">
        <f>C27+'Balance Sheet'!C28-C26</f>
        <v>446.8</v>
      </c>
      <c r="D31" s="25">
        <f>D27+'Balance Sheet'!D28-D26</f>
        <v>471.19999999999993</v>
      </c>
      <c r="E31" s="25">
        <f>E27+'Balance Sheet'!E28-E26</f>
        <v>496.9</v>
      </c>
      <c r="F31" s="25">
        <f>F27+'Balance Sheet'!F28-F26</f>
        <v>525.7593667287672</v>
      </c>
      <c r="G31" s="25">
        <f>G27+'Balance Sheet'!G28-G26</f>
        <v>552.572958385548</v>
      </c>
      <c r="H31" s="25">
        <f>H27+'Balance Sheet'!H28-H26</f>
        <v>579.0050190038487</v>
      </c>
      <c r="I31" s="25">
        <f>I27+'Balance Sheet'!I28-I26</f>
        <v>600.8335099579049</v>
      </c>
      <c r="J31" s="25">
        <f>J27+'Balance Sheet'!J28-J26</f>
        <v>621.353732713255</v>
      </c>
    </row>
    <row r="33" spans="1:10">
      <c r="A33" s="5" t="s">
        <v>32</v>
      </c>
      <c r="B33" s="5"/>
      <c r="C33" s="5"/>
      <c r="D33" s="5"/>
      <c r="E33" s="5"/>
      <c r="F33" s="5"/>
      <c r="G33" s="5"/>
      <c r="H33" s="5"/>
      <c r="I33" s="5"/>
      <c r="J33" s="5"/>
    </row>
    <row r="34" spans="1:10">
      <c r="A34" s="11" t="s">
        <v>33</v>
      </c>
      <c r="B34" s="24" t="s">
        <v>10</v>
      </c>
      <c r="D34" s="28">
        <f>'Income Statement'!D27/AVERAGE('Balance Sheet'!C28,'Balance Sheet'!D28)</f>
        <v>0.17663656884875828</v>
      </c>
      <c r="E34" s="28">
        <f>'Income Statement'!E27/AVERAGE('Balance Sheet'!D28,'Balance Sheet'!E28)</f>
        <v>0.19088208704636456</v>
      </c>
      <c r="F34" s="28">
        <f>'Income Statement'!F27/AVERAGE('Balance Sheet'!E28,'Balance Sheet'!F28)</f>
        <v>0.19777089182923788</v>
      </c>
      <c r="G34" s="28">
        <f>'Income Statement'!G27/AVERAGE('Balance Sheet'!F28,'Balance Sheet'!G28)</f>
        <v>0.20241267484044778</v>
      </c>
      <c r="H34" s="28">
        <f>'Income Statement'!H27/AVERAGE('Balance Sheet'!G28,'Balance Sheet'!H28)</f>
        <v>0.2057207412583278</v>
      </c>
      <c r="I34" s="28">
        <f>'Income Statement'!I27/AVERAGE('Balance Sheet'!H28,'Balance Sheet'!I28)</f>
        <v>0.20584020599262257</v>
      </c>
      <c r="J34" s="28">
        <f>'Income Statement'!J27/AVERAGE('Balance Sheet'!I28,'Balance Sheet'!J28)</f>
        <v>0.20211814530301142</v>
      </c>
    </row>
    <row r="35" spans="1:10">
      <c r="A35" s="11" t="s">
        <v>34</v>
      </c>
      <c r="B35" s="24" t="s">
        <v>10</v>
      </c>
      <c r="D35" s="28">
        <f>'Income Statement'!D21*(1-'Income Statement'!D29)/AVERAGE(C31,D31)</f>
        <v>0.15533012406559416</v>
      </c>
      <c r="E35" s="28">
        <f>'Income Statement'!E21*(1-'Income Statement'!E29)/AVERAGE(D31,E31)</f>
        <v>0.16894466475492062</v>
      </c>
      <c r="F35" s="28">
        <f>'Income Statement'!F21*(1-'Income Statement'!F29)/AVERAGE(E31,F31)</f>
        <v>0.17788004776398528</v>
      </c>
      <c r="G35" s="28">
        <f>'Income Statement'!G21*(1-'Income Statement'!G29)/AVERAGE(F31,G31)</f>
        <v>0.18448715340737873</v>
      </c>
      <c r="H35" s="28">
        <f>'Income Statement'!H21*(1-'Income Statement'!H29)/AVERAGE(G31,H31)</f>
        <v>0.19276197990518742</v>
      </c>
      <c r="I35" s="28">
        <f>'Income Statement'!I21*(1-'Income Statement'!I29)/AVERAGE(H31,I31)</f>
        <v>0.20009291915064908</v>
      </c>
      <c r="J35" s="28">
        <f>'Income Statement'!J21*(1-'Income Statement'!J29)/AVERAGE(I31,J31)</f>
        <v>0.20483142866443574</v>
      </c>
    </row>
  </sheetData>
  <mergeCells count="2">
    <mergeCell ref="C4:E4"/>
    <mergeCell ref="F4:J4"/>
  </mergeCells>
  <printOptions horizontalCentered="1"/>
  <pageMargins left="0.5" right="0.5" top="0.6" bottom="0.6" header="0.3" footer="0.3"/>
  <pageSetup paperSize="1" orientation="portrait"/>
  <headerFooter>
    <oddFooter>&amp;L&amp;8Northwind Components Inc. (fictional company)&amp;C&amp;8&amp;A&amp;R&amp;8Page &amp;P of &amp;N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0000FF"/>
    <pageSetUpPr fitToPage="1"/>
  </sheetPr>
  <dimension ref="A1:K70"/>
  <sheetViews>
    <sheetView showGridLines="0" zoomScale="90" zoomScaleNormal="90" workbookViewId="0">
      <pane xSplit="2" ySplit="5" topLeftCell="C6" activePane="bottomRight" state="frozen"/>
      <selection pane="topRight" activeCell="C1" sqref="C1"/>
      <selection pane="bottomLeft" activeCell="A6" sqref="A6"/>
      <selection pane="bottomRight"/>
    </sheetView>
  </sheetViews>
  <sheetFormatPr defaultRowHeight="15"/>
  <cols>
    <col min="1" max="1" width="50.7109375" customWidth="1"/>
    <col min="2" max="2" width="7.7109375" customWidth="1"/>
    <col min="3" max="10" width="11.7109375" customWidth="1"/>
    <col min="11" max="11" width="62.7109375" customWidth="1"/>
  </cols>
  <sheetData>
    <row r="1" spans="1:11">
      <c r="A1" s="18" t="s">
        <v>35</v>
      </c>
    </row>
    <row r="2" spans="1:11">
      <c r="A2" s="4" t="s">
        <v>36</v>
      </c>
    </row>
    <row r="3" spans="1:11">
      <c r="A3" s="19" t="str">
        <f>"Scenario: "&amp;Scenario</f>
        <v>Scenario: Base</v>
      </c>
    </row>
    <row r="4" spans="1:11">
      <c r="C4" s="20" t="s">
        <v>2</v>
      </c>
      <c r="D4" s="20"/>
      <c r="E4" s="20"/>
      <c r="F4" s="20" t="s">
        <v>3</v>
      </c>
      <c r="G4" s="20"/>
      <c r="H4" s="20"/>
      <c r="I4" s="20"/>
      <c r="J4" s="20"/>
    </row>
    <row r="5" spans="1:11">
      <c r="A5" s="21" t="s">
        <v>4</v>
      </c>
      <c r="B5" s="22" t="s">
        <v>5</v>
      </c>
      <c r="C5" s="36">
        <v>2023</v>
      </c>
      <c r="D5" s="37">
        <f>C5+1</f>
        <v>2024</v>
      </c>
      <c r="E5" s="37">
        <f>D5+1</f>
        <v>2025</v>
      </c>
      <c r="F5" s="38">
        <f>E5+1</f>
        <v>2026</v>
      </c>
      <c r="G5" s="38">
        <f>F5+1</f>
        <v>2027</v>
      </c>
      <c r="H5" s="38">
        <f>G5+1</f>
        <v>2028</v>
      </c>
      <c r="I5" s="38">
        <f>H5+1</f>
        <v>2029</v>
      </c>
      <c r="J5" s="38">
        <f>I5+1</f>
        <v>2030</v>
      </c>
      <c r="K5" s="39" t="s">
        <v>37</v>
      </c>
    </row>
    <row r="6" spans="1:11">
      <c r="A6" s="5" t="s">
        <v>38</v>
      </c>
      <c r="B6" s="5"/>
      <c r="C6" s="5"/>
      <c r="D6" s="5"/>
      <c r="E6" s="5"/>
      <c r="F6" s="5"/>
      <c r="G6" s="5"/>
      <c r="H6" s="5"/>
      <c r="I6" s="5"/>
      <c r="J6" s="5"/>
      <c r="K6" s="5"/>
    </row>
    <row r="7" spans="1:11">
      <c r="A7" s="11" t="s">
        <v>39</v>
      </c>
      <c r="B7" s="24" t="s">
        <v>40</v>
      </c>
      <c r="C7" s="40" t="s">
        <v>41</v>
      </c>
      <c r="K7" s="41" t="s">
        <v>42</v>
      </c>
    </row>
    <row r="8" spans="1:11">
      <c r="A8" s="11" t="s">
        <v>43</v>
      </c>
      <c r="B8" s="24" t="s">
        <v>44</v>
      </c>
      <c r="C8" s="42">
        <f>MATCH(C7,C9:C11,0)</f>
        <v>1</v>
      </c>
      <c r="K8" s="41" t="s">
        <v>45</v>
      </c>
    </row>
    <row r="9" spans="1:11">
      <c r="A9" s="43" t="s">
        <v>46</v>
      </c>
      <c r="B9" s="24" t="s">
        <v>47</v>
      </c>
      <c r="C9" s="44" t="s">
        <v>41</v>
      </c>
    </row>
    <row r="10" spans="1:11">
      <c r="A10" s="43" t="s">
        <v>48</v>
      </c>
      <c r="B10" s="24" t="s">
        <v>47</v>
      </c>
      <c r="C10" s="44" t="s">
        <v>49</v>
      </c>
    </row>
    <row r="11" spans="1:11">
      <c r="A11" s="43" t="s">
        <v>50</v>
      </c>
      <c r="B11" s="24" t="s">
        <v>47</v>
      </c>
      <c r="C11" s="44" t="s">
        <v>51</v>
      </c>
    </row>
    <row r="12" spans="1:11">
      <c r="A12" s="11" t="s">
        <v>52</v>
      </c>
      <c r="B12" s="24" t="s">
        <v>53</v>
      </c>
      <c r="C12" s="45">
        <v>365</v>
      </c>
    </row>
    <row r="13" spans="1:11">
      <c r="A13" s="11" t="s">
        <v>54</v>
      </c>
      <c r="B13" s="24" t="s">
        <v>8</v>
      </c>
      <c r="C13" s="46">
        <v>60</v>
      </c>
      <c r="K13" s="41" t="s">
        <v>55</v>
      </c>
    </row>
    <row r="14" spans="1:11">
      <c r="A14" s="11" t="s">
        <v>56</v>
      </c>
      <c r="B14" s="24" t="s">
        <v>8</v>
      </c>
      <c r="C14" s="46">
        <v>150</v>
      </c>
    </row>
    <row r="15" spans="1:11">
      <c r="A15" s="11" t="s">
        <v>57</v>
      </c>
      <c r="B15" s="24" t="s">
        <v>8</v>
      </c>
      <c r="C15" s="47">
        <v>0.001</v>
      </c>
    </row>
    <row r="16" spans="1:11">
      <c r="A16" s="4" t="s">
        <v>58</v>
      </c>
    </row>
    <row r="18" spans="1:11">
      <c r="A18" s="5" t="s">
        <v>59</v>
      </c>
      <c r="B18" s="5"/>
      <c r="C18" s="5"/>
      <c r="D18" s="5"/>
      <c r="E18" s="5"/>
      <c r="F18" s="5"/>
      <c r="G18" s="5"/>
      <c r="H18" s="5"/>
      <c r="I18" s="5"/>
      <c r="J18" s="5"/>
      <c r="K18" s="5"/>
    </row>
    <row r="19" spans="1:11">
      <c r="A19" s="11" t="s">
        <v>60</v>
      </c>
      <c r="B19" s="24" t="s">
        <v>10</v>
      </c>
      <c r="D19" s="28">
        <f>'Income Statement'!D7/'Income Statement'!C7-1</f>
        <v>0.07258064516129026</v>
      </c>
      <c r="E19" s="28">
        <f>'Income Statement'!E7/'Income Statement'!D7-1</f>
        <v>0.0730827067669173</v>
      </c>
      <c r="F19" s="48">
        <f>CHOOSE(Scenario_Idx,F20,F21,F22)</f>
        <v>0.06499999999999995</v>
      </c>
      <c r="G19" s="48">
        <f>CHOOSE(Scenario_Idx,G20,G21,G22)</f>
        <v>0.06000000000000005</v>
      </c>
      <c r="H19" s="48">
        <f>CHOOSE(Scenario_Idx,H20,H21,H22)</f>
        <v>0.05499999999999994</v>
      </c>
      <c r="I19" s="48">
        <f>CHOOSE(Scenario_Idx,I20,I21,I22)</f>
        <v>0.050000000000000044</v>
      </c>
      <c r="J19" s="48">
        <f>CHOOSE(Scenario_Idx,J20,J21,J22)</f>
        <v>0.04499999999999993</v>
      </c>
      <c r="K19" s="41" t="s">
        <v>61</v>
      </c>
    </row>
    <row r="20" spans="1:11">
      <c r="A20" s="49" t="s">
        <v>41</v>
      </c>
      <c r="B20" s="24" t="s">
        <v>10</v>
      </c>
      <c r="F20" s="50">
        <v>0.065</v>
      </c>
      <c r="G20" s="50">
        <v>0.06</v>
      </c>
      <c r="H20" s="50">
        <v>0.055</v>
      </c>
      <c r="I20" s="50">
        <v>0.05</v>
      </c>
      <c r="J20" s="50">
        <v>0.045</v>
      </c>
    </row>
    <row r="21" spans="1:11">
      <c r="A21" s="49" t="s">
        <v>49</v>
      </c>
      <c r="B21" s="24" t="s">
        <v>10</v>
      </c>
      <c r="F21" s="50">
        <v>0.08500000000000001</v>
      </c>
      <c r="G21" s="50">
        <v>0.08</v>
      </c>
      <c r="H21" s="50">
        <v>0.075</v>
      </c>
      <c r="I21" s="50">
        <v>0.07000000000000001</v>
      </c>
      <c r="J21" s="50">
        <v>0.06</v>
      </c>
    </row>
    <row r="22" spans="1:11">
      <c r="A22" s="49" t="s">
        <v>51</v>
      </c>
      <c r="B22" s="24" t="s">
        <v>10</v>
      </c>
      <c r="F22" s="50">
        <v>-0.02</v>
      </c>
      <c r="G22" s="50">
        <v>0.005</v>
      </c>
      <c r="H22" s="50">
        <v>0.025</v>
      </c>
      <c r="I22" s="50">
        <v>0.035</v>
      </c>
      <c r="J22" s="50">
        <v>0.04</v>
      </c>
    </row>
    <row r="23" spans="1:11">
      <c r="A23" s="11" t="s">
        <v>62</v>
      </c>
      <c r="B23" s="24" t="s">
        <v>10</v>
      </c>
      <c r="D23" s="28">
        <f>'Income Statement'!D8/'Income Statement'!C8-1</f>
        <v>0.10352941176470587</v>
      </c>
      <c r="E23" s="28">
        <f>'Income Statement'!E8/'Income Statement'!D8-1</f>
        <v>0.10589907604832982</v>
      </c>
      <c r="F23" s="48">
        <f>CHOOSE(Scenario_Idx,F24,F25,F26)</f>
        <v>0.09000000000000008</v>
      </c>
      <c r="G23" s="48">
        <f>CHOOSE(Scenario_Idx,G24,G25,G26)</f>
        <v>0.08499999999999996</v>
      </c>
      <c r="H23" s="48">
        <f>CHOOSE(Scenario_Idx,H24,H25,H26)</f>
        <v>0.08000000000000007</v>
      </c>
      <c r="I23" s="48">
        <f>CHOOSE(Scenario_Idx,I24,I25,I26)</f>
        <v>0.07000000000000006</v>
      </c>
      <c r="J23" s="48">
        <f>CHOOSE(Scenario_Idx,J24,J25,J26)</f>
        <v>0.06000000000000005</v>
      </c>
      <c r="K23" s="41" t="s">
        <v>61</v>
      </c>
    </row>
    <row r="24" spans="1:11">
      <c r="A24" s="49" t="s">
        <v>41</v>
      </c>
      <c r="B24" s="24" t="s">
        <v>10</v>
      </c>
      <c r="F24" s="50">
        <v>0.09</v>
      </c>
      <c r="G24" s="50">
        <v>0.08500000000000001</v>
      </c>
      <c r="H24" s="50">
        <v>0.08</v>
      </c>
      <c r="I24" s="50">
        <v>0.07000000000000001</v>
      </c>
      <c r="J24" s="50">
        <v>0.06</v>
      </c>
    </row>
    <row r="25" spans="1:11">
      <c r="A25" s="49" t="s">
        <v>49</v>
      </c>
      <c r="B25" s="24" t="s">
        <v>10</v>
      </c>
      <c r="F25" s="50">
        <v>0.12</v>
      </c>
      <c r="G25" s="50">
        <v>0.11</v>
      </c>
      <c r="H25" s="50">
        <v>0.1</v>
      </c>
      <c r="I25" s="50">
        <v>0.09</v>
      </c>
      <c r="J25" s="50">
        <v>0.08</v>
      </c>
    </row>
    <row r="26" spans="1:11">
      <c r="A26" s="49" t="s">
        <v>51</v>
      </c>
      <c r="B26" s="24" t="s">
        <v>10</v>
      </c>
      <c r="F26" s="50">
        <v>-0.06</v>
      </c>
      <c r="G26" s="50">
        <v>-0.01</v>
      </c>
      <c r="H26" s="50">
        <v>0.03</v>
      </c>
      <c r="I26" s="50">
        <v>0.05</v>
      </c>
      <c r="J26" s="50">
        <v>0.055</v>
      </c>
    </row>
    <row r="27" spans="1:11">
      <c r="A27" s="11" t="s">
        <v>63</v>
      </c>
      <c r="B27" s="24" t="s">
        <v>10</v>
      </c>
      <c r="D27" s="28">
        <f>'Income Statement'!D9/'Income Statement'!C9-1</f>
        <v>0.10084745762711878</v>
      </c>
      <c r="E27" s="28">
        <f>'Income Statement'!E9/'Income Statement'!D9-1</f>
        <v>0.09853733641262497</v>
      </c>
      <c r="F27" s="48">
        <f>CHOOSE(Scenario_Idx,F28,F29,F30)</f>
        <v>0.07000000000000006</v>
      </c>
      <c r="G27" s="48">
        <f>CHOOSE(Scenario_Idx,G28,G29,G30)</f>
        <v>0.07000000000000006</v>
      </c>
      <c r="H27" s="48">
        <f>CHOOSE(Scenario_Idx,H28,H29,H30)</f>
        <v>0.06499999999999995</v>
      </c>
      <c r="I27" s="48">
        <f>CHOOSE(Scenario_Idx,I28,I29,I30)</f>
        <v>0.06000000000000005</v>
      </c>
      <c r="J27" s="48">
        <f>CHOOSE(Scenario_Idx,J28,J29,J30)</f>
        <v>0.05499999999999994</v>
      </c>
      <c r="K27" s="41" t="s">
        <v>61</v>
      </c>
    </row>
    <row r="28" spans="1:11">
      <c r="A28" s="49" t="s">
        <v>41</v>
      </c>
      <c r="B28" s="24" t="s">
        <v>10</v>
      </c>
      <c r="F28" s="50">
        <v>0.07000000000000001</v>
      </c>
      <c r="G28" s="50">
        <v>0.07000000000000001</v>
      </c>
      <c r="H28" s="50">
        <v>0.065</v>
      </c>
      <c r="I28" s="50">
        <v>0.06</v>
      </c>
      <c r="J28" s="50">
        <v>0.055</v>
      </c>
    </row>
    <row r="29" spans="1:11">
      <c r="A29" s="49" t="s">
        <v>49</v>
      </c>
      <c r="B29" s="24" t="s">
        <v>10</v>
      </c>
      <c r="F29" s="50">
        <v>0.09</v>
      </c>
      <c r="G29" s="50">
        <v>0.09</v>
      </c>
      <c r="H29" s="50">
        <v>0.08500000000000001</v>
      </c>
      <c r="I29" s="50">
        <v>0.08</v>
      </c>
      <c r="J29" s="50">
        <v>0.07000000000000001</v>
      </c>
    </row>
    <row r="30" spans="1:11">
      <c r="A30" s="49" t="s">
        <v>51</v>
      </c>
      <c r="B30" s="24" t="s">
        <v>10</v>
      </c>
      <c r="F30" s="50">
        <v>0.01</v>
      </c>
      <c r="G30" s="50">
        <v>0.02</v>
      </c>
      <c r="H30" s="50">
        <v>0.03</v>
      </c>
      <c r="I30" s="50">
        <v>0.035</v>
      </c>
      <c r="J30" s="50">
        <v>0.04</v>
      </c>
    </row>
    <row r="31" spans="1:11">
      <c r="A31" s="11" t="s">
        <v>64</v>
      </c>
      <c r="B31" s="24" t="s">
        <v>10</v>
      </c>
      <c r="C31" s="28">
        <f>'Income Statement'!C15</f>
        <v>0.3600292825768667</v>
      </c>
      <c r="D31" s="28">
        <f>'Income Statement'!D15</f>
        <v>0.3650174778166173</v>
      </c>
      <c r="E31" s="28">
        <f>'Income Statement'!E15</f>
        <v>0.3700505735783891</v>
      </c>
      <c r="F31" s="48">
        <f>CHOOSE(Scenario_Idx,F32,F33,F34)</f>
        <v>0.373</v>
      </c>
      <c r="G31" s="48">
        <f>CHOOSE(Scenario_Idx,G32,G33,G34)</f>
        <v>0.37500000000000006</v>
      </c>
      <c r="H31" s="48">
        <f>CHOOSE(Scenario_Idx,H32,H33,H34)</f>
        <v>0.378</v>
      </c>
      <c r="I31" s="48">
        <f>CHOOSE(Scenario_Idx,I32,I33,I34)</f>
        <v>0.38</v>
      </c>
      <c r="J31" s="48">
        <f>CHOOSE(Scenario_Idx,J32,J33,J34)</f>
        <v>0.38000000000000006</v>
      </c>
      <c r="K31" s="41" t="s">
        <v>65</v>
      </c>
    </row>
    <row r="32" spans="1:11">
      <c r="A32" s="49" t="s">
        <v>41</v>
      </c>
      <c r="B32" s="24" t="s">
        <v>10</v>
      </c>
      <c r="F32" s="50">
        <v>0.373</v>
      </c>
      <c r="G32" s="50">
        <v>0.375</v>
      </c>
      <c r="H32" s="50">
        <v>0.378</v>
      </c>
      <c r="I32" s="50">
        <v>0.38</v>
      </c>
      <c r="J32" s="50">
        <v>0.38</v>
      </c>
    </row>
    <row r="33" spans="1:11">
      <c r="A33" s="49" t="s">
        <v>49</v>
      </c>
      <c r="B33" s="24" t="s">
        <v>10</v>
      </c>
      <c r="F33" s="50">
        <v>0.378</v>
      </c>
      <c r="G33" s="50">
        <v>0.384</v>
      </c>
      <c r="H33" s="50">
        <v>0.389</v>
      </c>
      <c r="I33" s="50">
        <v>0.393</v>
      </c>
      <c r="J33" s="50">
        <v>0.395</v>
      </c>
    </row>
    <row r="34" spans="1:11">
      <c r="A34" s="49" t="s">
        <v>51</v>
      </c>
      <c r="B34" s="24" t="s">
        <v>10</v>
      </c>
      <c r="F34" s="50">
        <v>0.355</v>
      </c>
      <c r="G34" s="50">
        <v>0.353</v>
      </c>
      <c r="H34" s="50">
        <v>0.358</v>
      </c>
      <c r="I34" s="50">
        <v>0.363</v>
      </c>
      <c r="J34" s="50">
        <v>0.365</v>
      </c>
    </row>
    <row r="35" spans="1:11">
      <c r="A35" s="11" t="s">
        <v>66</v>
      </c>
      <c r="B35" s="24" t="s">
        <v>10</v>
      </c>
      <c r="C35" s="28">
        <f>'Income Statement'!C16/'Income Statement'!C10</f>
        <v>0.14494875549048317</v>
      </c>
      <c r="D35" s="28">
        <f>'Income Statement'!D16/'Income Statement'!D10</f>
        <v>0.14304920677601507</v>
      </c>
      <c r="E35" s="28">
        <f>'Income Statement'!E16/'Income Statement'!E10</f>
        <v>0.1409892685333662</v>
      </c>
      <c r="F35" s="48">
        <f>CHOOSE(Scenario_Idx,F36,F37,F38)</f>
        <v>0.14</v>
      </c>
      <c r="G35" s="48">
        <f>CHOOSE(Scenario_Idx,G36,G37,G38)</f>
        <v>0.139</v>
      </c>
      <c r="H35" s="48">
        <f>CHOOSE(Scenario_Idx,H36,H37,H38)</f>
        <v>0.138</v>
      </c>
      <c r="I35" s="48">
        <f>CHOOSE(Scenario_Idx,I36,I37,I38)</f>
        <v>0.137</v>
      </c>
      <c r="J35" s="48">
        <f>CHOOSE(Scenario_Idx,J36,J37,J38)</f>
        <v>0.136</v>
      </c>
      <c r="K35" s="41" t="s">
        <v>67</v>
      </c>
    </row>
    <row r="36" spans="1:11">
      <c r="A36" s="49" t="s">
        <v>41</v>
      </c>
      <c r="B36" s="24" t="s">
        <v>10</v>
      </c>
      <c r="F36" s="50">
        <v>0.14</v>
      </c>
      <c r="G36" s="50">
        <v>0.139</v>
      </c>
      <c r="H36" s="50">
        <v>0.138</v>
      </c>
      <c r="I36" s="50">
        <v>0.137</v>
      </c>
      <c r="J36" s="50">
        <v>0.136</v>
      </c>
    </row>
    <row r="37" spans="1:11">
      <c r="A37" s="49" t="s">
        <v>49</v>
      </c>
      <c r="B37" s="24" t="s">
        <v>10</v>
      </c>
      <c r="F37" s="50">
        <v>0.138</v>
      </c>
      <c r="G37" s="50">
        <v>0.136</v>
      </c>
      <c r="H37" s="50">
        <v>0.134</v>
      </c>
      <c r="I37" s="50">
        <v>0.132</v>
      </c>
      <c r="J37" s="50">
        <v>0.131</v>
      </c>
    </row>
    <row r="38" spans="1:11">
      <c r="A38" s="49" t="s">
        <v>51</v>
      </c>
      <c r="B38" s="24" t="s">
        <v>10</v>
      </c>
      <c r="F38" s="50">
        <v>0.148</v>
      </c>
      <c r="G38" s="50">
        <v>0.149</v>
      </c>
      <c r="H38" s="50">
        <v>0.146</v>
      </c>
      <c r="I38" s="50">
        <v>0.143</v>
      </c>
      <c r="J38" s="50">
        <v>0.141</v>
      </c>
    </row>
    <row r="39" spans="1:11">
      <c r="A39" s="11" t="s">
        <v>68</v>
      </c>
      <c r="B39" s="24" t="s">
        <v>10</v>
      </c>
      <c r="D39" s="28">
        <f>Schedules!D8/'Income Statement'!D10</f>
        <v>0.06466792148426997</v>
      </c>
      <c r="E39" s="28">
        <f>Schedules!E8/'Income Statement'!E10</f>
        <v>0.06426544961144688</v>
      </c>
      <c r="F39" s="48">
        <f>CHOOSE(Scenario_Idx,F40,F41,F42)</f>
        <v>0.065</v>
      </c>
      <c r="G39" s="48">
        <f>CHOOSE(Scenario_Idx,G40,G41,G42)</f>
        <v>0.063</v>
      </c>
      <c r="H39" s="48">
        <f>CHOOSE(Scenario_Idx,H40,H41,H42)</f>
        <v>0.06</v>
      </c>
      <c r="I39" s="48">
        <f>CHOOSE(Scenario_Idx,I40,I41,I42)</f>
        <v>0.058</v>
      </c>
      <c r="J39" s="48">
        <f>CHOOSE(Scenario_Idx,J40,J41,J42)</f>
        <v>0.055</v>
      </c>
      <c r="K39" s="41" t="s">
        <v>69</v>
      </c>
    </row>
    <row r="40" spans="1:11">
      <c r="A40" s="49" t="s">
        <v>41</v>
      </c>
      <c r="B40" s="24" t="s">
        <v>10</v>
      </c>
      <c r="F40" s="50">
        <v>0.065</v>
      </c>
      <c r="G40" s="50">
        <v>0.063</v>
      </c>
      <c r="H40" s="50">
        <v>0.06</v>
      </c>
      <c r="I40" s="50">
        <v>0.058</v>
      </c>
      <c r="J40" s="50">
        <v>0.055</v>
      </c>
    </row>
    <row r="41" spans="1:11">
      <c r="A41" s="49" t="s">
        <v>49</v>
      </c>
      <c r="B41" s="24" t="s">
        <v>10</v>
      </c>
      <c r="F41" s="50">
        <v>0.068</v>
      </c>
      <c r="G41" s="50">
        <v>0.066</v>
      </c>
      <c r="H41" s="50">
        <v>0.063</v>
      </c>
      <c r="I41" s="50">
        <v>0.06</v>
      </c>
      <c r="J41" s="50">
        <v>0.058</v>
      </c>
    </row>
    <row r="42" spans="1:11">
      <c r="A42" s="49" t="s">
        <v>51</v>
      </c>
      <c r="B42" s="24" t="s">
        <v>10</v>
      </c>
      <c r="F42" s="50">
        <v>0.05</v>
      </c>
      <c r="G42" s="50">
        <v>0.05</v>
      </c>
      <c r="H42" s="50">
        <v>0.052</v>
      </c>
      <c r="I42" s="50">
        <v>0.055</v>
      </c>
      <c r="J42" s="50">
        <v>0.055</v>
      </c>
    </row>
    <row r="43" spans="1:11">
      <c r="A43" s="11" t="s">
        <v>70</v>
      </c>
      <c r="B43" s="24" t="s">
        <v>53</v>
      </c>
      <c r="C43" s="51">
        <f>'Balance Sheet'!C8/'Income Statement'!C10*Days_In_Year</f>
        <v>50.98243045387994</v>
      </c>
      <c r="D43" s="51">
        <f>'Balance Sheet'!D8/'Income Statement'!D10*Days_In_Year</f>
        <v>52.01667114815811</v>
      </c>
      <c r="E43" s="51">
        <f>'Balance Sheet'!E8/'Income Statement'!E10*Days_In_Year</f>
        <v>52.001356852103115</v>
      </c>
      <c r="F43" s="52">
        <f>CHOOSE(Scenario_Idx,F44,F45,F46)</f>
        <v>52.0</v>
      </c>
      <c r="G43" s="52">
        <f>CHOOSE(Scenario_Idx,G44,G45,G46)</f>
        <v>52.0</v>
      </c>
      <c r="H43" s="52">
        <f>CHOOSE(Scenario_Idx,H44,H45,H46)</f>
        <v>52.0</v>
      </c>
      <c r="I43" s="52">
        <f>CHOOSE(Scenario_Idx,I44,I45,I46)</f>
        <v>51.5</v>
      </c>
      <c r="J43" s="52">
        <f>CHOOSE(Scenario_Idx,J44,J45,J46)</f>
        <v>51.0</v>
      </c>
      <c r="K43" s="41" t="s">
        <v>71</v>
      </c>
    </row>
    <row r="44" spans="1:11">
      <c r="A44" s="49" t="s">
        <v>41</v>
      </c>
      <c r="B44" s="24" t="s">
        <v>53</v>
      </c>
      <c r="F44" s="53">
        <v>52</v>
      </c>
      <c r="G44" s="53">
        <v>52</v>
      </c>
      <c r="H44" s="53">
        <v>52</v>
      </c>
      <c r="I44" s="53">
        <v>51.5</v>
      </c>
      <c r="J44" s="53">
        <v>51</v>
      </c>
    </row>
    <row r="45" spans="1:11">
      <c r="A45" s="49" t="s">
        <v>49</v>
      </c>
      <c r="B45" s="24" t="s">
        <v>53</v>
      </c>
      <c r="F45" s="53">
        <v>51</v>
      </c>
      <c r="G45" s="53">
        <v>50</v>
      </c>
      <c r="H45" s="53">
        <v>50</v>
      </c>
      <c r="I45" s="53">
        <v>49.5</v>
      </c>
      <c r="J45" s="53">
        <v>49</v>
      </c>
    </row>
    <row r="46" spans="1:11">
      <c r="A46" s="49" t="s">
        <v>51</v>
      </c>
      <c r="B46" s="24" t="s">
        <v>53</v>
      </c>
      <c r="F46" s="53">
        <v>56</v>
      </c>
      <c r="G46" s="53">
        <v>58</v>
      </c>
      <c r="H46" s="53">
        <v>57</v>
      </c>
      <c r="I46" s="53">
        <v>56</v>
      </c>
      <c r="J46" s="53">
        <v>55</v>
      </c>
    </row>
    <row r="47" spans="1:11">
      <c r="A47" s="11" t="s">
        <v>72</v>
      </c>
      <c r="B47" s="24" t="s">
        <v>53</v>
      </c>
      <c r="C47" s="51">
        <f>'Balance Sheet'!C9/'Income Statement'!C13*Days_In_Year</f>
        <v>76.991535117822</v>
      </c>
      <c r="D47" s="51">
        <f>'Balance Sheet'!D9/'Income Statement'!D13*Days_In_Year</f>
        <v>75.96760533559178</v>
      </c>
      <c r="E47" s="51">
        <f>'Balance Sheet'!E9/'Income Statement'!E13*Days_In_Year</f>
        <v>74.97258664578031</v>
      </c>
      <c r="F47" s="52">
        <f>CHOOSE(Scenario_Idx,F48,F49,F50)</f>
        <v>75.0</v>
      </c>
      <c r="G47" s="52">
        <f>CHOOSE(Scenario_Idx,G48,G49,G50)</f>
        <v>74.0</v>
      </c>
      <c r="H47" s="52">
        <f>CHOOSE(Scenario_Idx,H48,H49,H50)</f>
        <v>74.0</v>
      </c>
      <c r="I47" s="52">
        <f>CHOOSE(Scenario_Idx,I48,I49,I50)</f>
        <v>73.0</v>
      </c>
      <c r="J47" s="52">
        <f>CHOOSE(Scenario_Idx,J48,J49,J50)</f>
        <v>73.0</v>
      </c>
      <c r="K47" s="41" t="s">
        <v>73</v>
      </c>
    </row>
    <row r="48" spans="1:11">
      <c r="A48" s="49" t="s">
        <v>41</v>
      </c>
      <c r="B48" s="24" t="s">
        <v>53</v>
      </c>
      <c r="F48" s="53">
        <v>75</v>
      </c>
      <c r="G48" s="53">
        <v>74</v>
      </c>
      <c r="H48" s="53">
        <v>74</v>
      </c>
      <c r="I48" s="53">
        <v>73</v>
      </c>
      <c r="J48" s="53">
        <v>73</v>
      </c>
    </row>
    <row r="49" spans="1:11">
      <c r="A49" s="49" t="s">
        <v>49</v>
      </c>
      <c r="B49" s="24" t="s">
        <v>53</v>
      </c>
      <c r="F49" s="53">
        <v>74</v>
      </c>
      <c r="G49" s="53">
        <v>72</v>
      </c>
      <c r="H49" s="53">
        <v>71</v>
      </c>
      <c r="I49" s="53">
        <v>70</v>
      </c>
      <c r="J49" s="53">
        <v>70</v>
      </c>
    </row>
    <row r="50" spans="1:11">
      <c r="A50" s="49" t="s">
        <v>51</v>
      </c>
      <c r="B50" s="24" t="s">
        <v>53</v>
      </c>
      <c r="F50" s="53">
        <v>82</v>
      </c>
      <c r="G50" s="53">
        <v>86</v>
      </c>
      <c r="H50" s="53">
        <v>84</v>
      </c>
      <c r="I50" s="53">
        <v>81</v>
      </c>
      <c r="J50" s="53">
        <v>79</v>
      </c>
    </row>
    <row r="52" spans="1:11">
      <c r="A52" s="5" t="s">
        <v>74</v>
      </c>
      <c r="B52" s="5"/>
      <c r="C52" s="5"/>
      <c r="D52" s="5"/>
      <c r="E52" s="5"/>
      <c r="F52" s="5"/>
      <c r="G52" s="5"/>
      <c r="H52" s="5"/>
      <c r="I52" s="5"/>
      <c r="J52" s="5"/>
      <c r="K52" s="5"/>
    </row>
    <row r="53" spans="1:11">
      <c r="A53" s="11" t="s">
        <v>75</v>
      </c>
      <c r="B53" s="24" t="s">
        <v>10</v>
      </c>
      <c r="C53" s="28">
        <f>'Income Statement'!C17/'Income Statement'!C10</f>
        <v>0.050073206442166916</v>
      </c>
      <c r="D53" s="28">
        <f>'Income Statement'!D17/'Income Statement'!D10</f>
        <v>0.05001344447432106</v>
      </c>
      <c r="E53" s="28">
        <f>'Income Statement'!E17/'Income Statement'!E10</f>
        <v>0.05094362896262489</v>
      </c>
      <c r="F53" s="50">
        <v>0.051</v>
      </c>
      <c r="G53" s="50">
        <v>0.051</v>
      </c>
      <c r="H53" s="50">
        <v>0.051</v>
      </c>
      <c r="I53" s="50">
        <v>0.051</v>
      </c>
      <c r="J53" s="50">
        <v>0.051</v>
      </c>
    </row>
    <row r="54" spans="1:11">
      <c r="A54" s="11" t="s">
        <v>76</v>
      </c>
      <c r="B54" s="24" t="s">
        <v>10</v>
      </c>
      <c r="C54" s="28">
        <f>'Balance Sheet'!C10/'Income Statement'!C10</f>
        <v>0.025036603221083458</v>
      </c>
      <c r="D54" s="28">
        <f>'Balance Sheet'!D10/'Income Statement'!D10</f>
        <v>0.02500672223716053</v>
      </c>
      <c r="E54" s="28">
        <f>'Balance Sheet'!E10/'Income Statement'!E10</f>
        <v>0.025040088812137658</v>
      </c>
      <c r="F54" s="50">
        <v>0.025</v>
      </c>
      <c r="G54" s="50">
        <v>0.025</v>
      </c>
      <c r="H54" s="50">
        <v>0.025</v>
      </c>
      <c r="I54" s="50">
        <v>0.025</v>
      </c>
      <c r="J54" s="50">
        <v>0.025</v>
      </c>
    </row>
    <row r="55" spans="1:11">
      <c r="A55" s="11" t="s">
        <v>77</v>
      </c>
      <c r="B55" s="24" t="s">
        <v>10</v>
      </c>
      <c r="C55" s="28">
        <f>'Balance Sheet'!C18/'Income Statement'!C10</f>
        <v>0.05505124450951684</v>
      </c>
      <c r="D55" s="28">
        <f>'Balance Sheet'!D18/'Income Statement'!D10</f>
        <v>0.05498789997311105</v>
      </c>
      <c r="E55" s="28">
        <f>'Balance Sheet'!E18/'Income Statement'!E10</f>
        <v>0.05501418527198717</v>
      </c>
      <c r="F55" s="50">
        <v>0.055</v>
      </c>
      <c r="G55" s="50">
        <v>0.055</v>
      </c>
      <c r="H55" s="50">
        <v>0.055</v>
      </c>
      <c r="I55" s="50">
        <v>0.055</v>
      </c>
      <c r="J55" s="50">
        <v>0.055</v>
      </c>
    </row>
    <row r="56" spans="1:11">
      <c r="A56" s="11" t="s">
        <v>78</v>
      </c>
      <c r="B56" s="24" t="s">
        <v>53</v>
      </c>
      <c r="C56" s="51">
        <f>'Balance Sheet'!C17/'Income Statement'!C13*Days_In_Year</f>
        <v>47.0132692747655</v>
      </c>
      <c r="D56" s="51">
        <f>'Balance Sheet'!D17/'Income Statement'!D13*Days_In_Year</f>
        <v>47.9917425365234</v>
      </c>
      <c r="E56" s="51">
        <f>'Balance Sheet'!E17/'Income Statement'!E13*Days_In_Year</f>
        <v>48.02819659291169</v>
      </c>
      <c r="F56" s="53">
        <v>48</v>
      </c>
      <c r="G56" s="53">
        <v>48</v>
      </c>
      <c r="H56" s="53">
        <v>48</v>
      </c>
      <c r="I56" s="53">
        <v>48</v>
      </c>
      <c r="J56" s="53">
        <v>48</v>
      </c>
      <c r="K56" s="41" t="s">
        <v>79</v>
      </c>
    </row>
    <row r="57" spans="1:11">
      <c r="A57" s="11" t="s">
        <v>80</v>
      </c>
      <c r="B57" s="24" t="s">
        <v>10</v>
      </c>
      <c r="D57" s="28">
        <f>'Income Statement'!D20/'Balance Sheet'!C12</f>
        <v>0.14513274336283186</v>
      </c>
      <c r="E57" s="28">
        <f>'Income Statement'!E20/'Balance Sheet'!D12</f>
        <v>0.146705346042271</v>
      </c>
      <c r="F57" s="50">
        <v>0.145</v>
      </c>
      <c r="G57" s="50">
        <v>0.145</v>
      </c>
      <c r="H57" s="50">
        <v>0.145</v>
      </c>
      <c r="I57" s="50">
        <v>0.145</v>
      </c>
      <c r="J57" s="50">
        <v>0.145</v>
      </c>
    </row>
    <row r="58" spans="1:11">
      <c r="A58" s="11" t="s">
        <v>81</v>
      </c>
      <c r="B58" s="24" t="s">
        <v>10</v>
      </c>
      <c r="C58" s="28">
        <f>'Income Statement'!C29</f>
        <v>0.25035971223021586</v>
      </c>
      <c r="D58" s="28">
        <f>'Income Statement'!D29</f>
        <v>0.25029940119760496</v>
      </c>
      <c r="E58" s="28">
        <f>'Income Statement'!E29</f>
        <v>0.24974619289340097</v>
      </c>
      <c r="F58" s="50">
        <v>0.25</v>
      </c>
      <c r="G58" s="50">
        <v>0.25</v>
      </c>
      <c r="H58" s="50">
        <v>0.25</v>
      </c>
      <c r="I58" s="50">
        <v>0.25</v>
      </c>
      <c r="J58" s="50">
        <v>0.25</v>
      </c>
      <c r="K58" s="41" t="s">
        <v>82</v>
      </c>
    </row>
    <row r="60" spans="1:11">
      <c r="A60" s="5" t="s">
        <v>83</v>
      </c>
      <c r="B60" s="5"/>
      <c r="C60" s="5"/>
      <c r="D60" s="5"/>
      <c r="E60" s="5"/>
      <c r="F60" s="5"/>
      <c r="G60" s="5"/>
      <c r="H60" s="5"/>
      <c r="I60" s="5"/>
      <c r="J60" s="5"/>
      <c r="K60" s="5"/>
    </row>
    <row r="61" spans="1:11">
      <c r="A61" s="11" t="s">
        <v>84</v>
      </c>
      <c r="B61" s="24" t="s">
        <v>10</v>
      </c>
      <c r="F61" s="54">
        <v>0.0675</v>
      </c>
      <c r="G61" s="54">
        <v>0.0675</v>
      </c>
      <c r="H61" s="54">
        <v>0.0675</v>
      </c>
      <c r="I61" s="54">
        <v>0.0675</v>
      </c>
      <c r="J61" s="54">
        <v>0.0675</v>
      </c>
      <c r="K61" s="41" t="s">
        <v>85</v>
      </c>
    </row>
    <row r="62" spans="1:11">
      <c r="A62" s="11" t="s">
        <v>86</v>
      </c>
      <c r="B62" s="24" t="s">
        <v>10</v>
      </c>
      <c r="F62" s="54">
        <v>0.0725</v>
      </c>
      <c r="G62" s="54">
        <v>0.0725</v>
      </c>
      <c r="H62" s="54">
        <v>0.0725</v>
      </c>
      <c r="I62" s="54">
        <v>0.0725</v>
      </c>
      <c r="J62" s="54">
        <v>0.0725</v>
      </c>
      <c r="K62" s="41" t="s">
        <v>85</v>
      </c>
    </row>
    <row r="63" spans="1:11">
      <c r="A63" s="11" t="s">
        <v>87</v>
      </c>
      <c r="B63" s="24" t="s">
        <v>10</v>
      </c>
      <c r="F63" s="54">
        <v>0.025</v>
      </c>
      <c r="G63" s="54">
        <v>0.025</v>
      </c>
      <c r="H63" s="54">
        <v>0.025</v>
      </c>
      <c r="I63" s="54">
        <v>0.025</v>
      </c>
      <c r="J63" s="54">
        <v>0.025</v>
      </c>
      <c r="K63" s="41" t="s">
        <v>85</v>
      </c>
    </row>
    <row r="64" spans="1:11">
      <c r="A64" s="11" t="s">
        <v>88</v>
      </c>
      <c r="B64" s="24" t="s">
        <v>8</v>
      </c>
      <c r="D64" s="25">
        <f>Schedules!D23</f>
        <v>15.0</v>
      </c>
      <c r="E64" s="25">
        <f>Schedules!E23</f>
        <v>15.0</v>
      </c>
      <c r="F64" s="46">
        <v>25</v>
      </c>
      <c r="G64" s="46">
        <v>25</v>
      </c>
      <c r="H64" s="46">
        <v>25</v>
      </c>
      <c r="I64" s="46">
        <v>25</v>
      </c>
      <c r="J64" s="46">
        <v>25</v>
      </c>
    </row>
    <row r="66" spans="1:11">
      <c r="A66" s="5" t="s">
        <v>89</v>
      </c>
      <c r="B66" s="5"/>
      <c r="C66" s="5"/>
      <c r="D66" s="5"/>
      <c r="E66" s="5"/>
      <c r="F66" s="5"/>
      <c r="G66" s="5"/>
      <c r="H66" s="5"/>
      <c r="I66" s="5"/>
      <c r="J66" s="5"/>
      <c r="K66" s="5"/>
    </row>
    <row r="67" spans="1:11">
      <c r="A67" s="11" t="s">
        <v>90</v>
      </c>
      <c r="B67" s="24" t="s">
        <v>10</v>
      </c>
      <c r="D67" s="28">
        <f>Schedules!D56/'Income Statement'!D27</f>
        <v>0.30031948881789006</v>
      </c>
      <c r="E67" s="28">
        <f>Schedules!E56/'Income Statement'!E27</f>
        <v>0.3004059539918814</v>
      </c>
      <c r="F67" s="50">
        <v>0.3</v>
      </c>
      <c r="G67" s="50">
        <v>0.3</v>
      </c>
      <c r="H67" s="50">
        <v>0.3</v>
      </c>
      <c r="I67" s="50">
        <v>0.3</v>
      </c>
      <c r="J67" s="50">
        <v>0.3</v>
      </c>
    </row>
    <row r="68" spans="1:11">
      <c r="A68" s="11" t="s">
        <v>91</v>
      </c>
      <c r="B68" s="24" t="s">
        <v>8</v>
      </c>
      <c r="D68" s="25">
        <f>Schedules!D64</f>
        <v>15.0</v>
      </c>
      <c r="E68" s="25">
        <f>Schedules!E64</f>
        <v>15.0</v>
      </c>
      <c r="F68" s="46">
        <v>30</v>
      </c>
      <c r="G68" s="46">
        <v>30</v>
      </c>
      <c r="H68" s="46">
        <v>30</v>
      </c>
      <c r="I68" s="46">
        <v>35</v>
      </c>
      <c r="J68" s="46">
        <v>35</v>
      </c>
    </row>
    <row r="69" spans="1:11">
      <c r="A69" s="11" t="s">
        <v>92</v>
      </c>
      <c r="B69" s="24" t="s">
        <v>8</v>
      </c>
      <c r="D69" s="25">
        <f>Schedules!D61</f>
        <v>0.0</v>
      </c>
      <c r="E69" s="25">
        <f>Schedules!E61</f>
        <v>0.0</v>
      </c>
      <c r="F69" s="46">
        <v>5</v>
      </c>
      <c r="G69" s="46">
        <v>5</v>
      </c>
      <c r="H69" s="46">
        <v>5</v>
      </c>
      <c r="I69" s="46">
        <v>5</v>
      </c>
      <c r="J69" s="46">
        <v>5</v>
      </c>
    </row>
    <row r="70" spans="1:11">
      <c r="A70" s="11" t="s">
        <v>93</v>
      </c>
      <c r="B70" s="24" t="s">
        <v>94</v>
      </c>
      <c r="F70" s="55">
        <v>28</v>
      </c>
      <c r="G70" s="55">
        <v>29.5</v>
      </c>
      <c r="H70" s="55">
        <v>31</v>
      </c>
      <c r="I70" s="55">
        <v>32.5</v>
      </c>
      <c r="J70" s="55">
        <v>34</v>
      </c>
    </row>
  </sheetData>
  <mergeCells count="2">
    <mergeCell ref="C4:E4"/>
    <mergeCell ref="F4:J4"/>
  </mergeCells>
  <dataValidations count="1">
    <dataValidation type="list" allowBlank="1" showInputMessage="1" showErrorMessage="1" errorTitle="Invalid scenario" error="Pick a scenario from the list." promptTitle="Scenario" prompt="Choose Base, Upside or Downside." sqref="C7">
      <formula1>$C$9:$C$11</formula1>
    </dataValidation>
  </dataValidations>
  <printOptions horizontalCentered="1"/>
  <pageMargins left="0.5" right="0.5" top="0.6" bottom="0.6" header="0.3" footer="0.3"/>
  <pageSetup paperSize="1" fitToHeight="0" orientation="landscape"/>
  <headerFooter>
    <oddFooter>&amp;L&amp;8Northwind Components Inc. (fictional company)&amp;C&amp;8&amp;A&amp;R&amp;8Page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4A7FB5"/>
    <pageSetUpPr fitToPage="1"/>
  </sheetPr>
  <dimension ref="A1:J34"/>
  <sheetViews>
    <sheetView showGridLines="0" zoomScale="90" zoomScaleNormal="90" workbookViewId="0">
      <pane xSplit="2" ySplit="5" topLeftCell="C6" activePane="bottomRight" state="frozen"/>
      <selection pane="topRight" activeCell="C1" sqref="C1"/>
      <selection pane="bottomLeft" activeCell="A6" sqref="A6"/>
      <selection pane="bottomRight"/>
    </sheetView>
  </sheetViews>
  <sheetFormatPr defaultRowHeight="15"/>
  <cols>
    <col min="1" max="1" width="44.7109375" customWidth="1"/>
    <col min="2" max="2" width="7.7109375" customWidth="1"/>
    <col min="3" max="10" width="11.7109375" customWidth="1"/>
  </cols>
  <sheetData>
    <row r="1" spans="1:10">
      <c r="A1" s="18" t="s">
        <v>95</v>
      </c>
    </row>
    <row r="2" spans="1:10">
      <c r="A2" s="4" t="s">
        <v>96</v>
      </c>
    </row>
    <row r="3" spans="1:10">
      <c r="A3" s="19" t="str">
        <f>"Scenario: "&amp;Scenario</f>
        <v>Scenario: Base</v>
      </c>
    </row>
    <row r="4" spans="1:10">
      <c r="C4" s="20" t="s">
        <v>2</v>
      </c>
      <c r="D4" s="20"/>
      <c r="E4" s="20"/>
      <c r="F4" s="20" t="s">
        <v>3</v>
      </c>
      <c r="G4" s="20"/>
      <c r="H4" s="20"/>
      <c r="I4" s="20"/>
      <c r="J4" s="20"/>
    </row>
    <row r="5" spans="1:10">
      <c r="A5" s="21" t="s">
        <v>4</v>
      </c>
      <c r="B5" s="22" t="s">
        <v>5</v>
      </c>
      <c r="C5" s="37">
        <f>Assumptions!C$5</f>
        <v>2023</v>
      </c>
      <c r="D5" s="37">
        <f>Assumptions!D$5</f>
        <v>2024</v>
      </c>
      <c r="E5" s="37">
        <f>Assumptions!E$5</f>
        <v>2025</v>
      </c>
      <c r="F5" s="38">
        <f>Assumptions!F$5</f>
        <v>2026</v>
      </c>
      <c r="G5" s="38">
        <f>Assumptions!G$5</f>
        <v>2027</v>
      </c>
      <c r="H5" s="38">
        <f>Assumptions!H$5</f>
        <v>2028</v>
      </c>
      <c r="I5" s="38">
        <f>Assumptions!I$5</f>
        <v>2029</v>
      </c>
      <c r="J5" s="38">
        <f>Assumptions!J$5</f>
        <v>2030</v>
      </c>
    </row>
    <row r="6" spans="1:10">
      <c r="A6" s="5" t="s">
        <v>7</v>
      </c>
      <c r="B6" s="5"/>
      <c r="C6" s="5"/>
      <c r="D6" s="5"/>
      <c r="E6" s="5"/>
      <c r="F6" s="5"/>
      <c r="G6" s="5"/>
      <c r="H6" s="5"/>
      <c r="I6" s="5"/>
      <c r="J6" s="5"/>
    </row>
    <row r="7" spans="1:10">
      <c r="A7" s="43" t="s">
        <v>97</v>
      </c>
      <c r="B7" s="24" t="s">
        <v>8</v>
      </c>
      <c r="C7" s="46">
        <v>310</v>
      </c>
      <c r="D7" s="46">
        <v>332.5</v>
      </c>
      <c r="E7" s="46">
        <v>356.8</v>
      </c>
      <c r="F7" s="25">
        <f>E7*(1+Assumptions!F19)</f>
        <v>379.992</v>
      </c>
      <c r="G7" s="25">
        <f>F7*(1+Assumptions!G19)</f>
        <v>402.79152000000005</v>
      </c>
      <c r="H7" s="25">
        <f>G7*(1+Assumptions!H19)</f>
        <v>424.94505360000005</v>
      </c>
      <c r="I7" s="25">
        <f>H7*(1+Assumptions!I19)</f>
        <v>446.1923062800001</v>
      </c>
      <c r="J7" s="25">
        <f>I7*(1+Assumptions!J19)</f>
        <v>466.27096006260007</v>
      </c>
    </row>
    <row r="8" spans="1:10">
      <c r="A8" s="43" t="s">
        <v>98</v>
      </c>
      <c r="B8" s="24" t="s">
        <v>8</v>
      </c>
      <c r="C8" s="46">
        <v>255</v>
      </c>
      <c r="D8" s="46">
        <v>281.4</v>
      </c>
      <c r="E8" s="46">
        <v>311.2</v>
      </c>
      <c r="F8" s="25">
        <f>E8*(1+Assumptions!F23)</f>
        <v>339.208</v>
      </c>
      <c r="G8" s="25">
        <f>F8*(1+Assumptions!G23)</f>
        <v>368.04068</v>
      </c>
      <c r="H8" s="25">
        <f>G8*(1+Assumptions!H23)</f>
        <v>397.4839344</v>
      </c>
      <c r="I8" s="25">
        <f>H8*(1+Assumptions!I23)</f>
        <v>425.30780980800006</v>
      </c>
      <c r="J8" s="25">
        <f>I8*(1+Assumptions!J23)</f>
        <v>450.82627839648006</v>
      </c>
    </row>
    <row r="9" spans="1:10">
      <c r="A9" s="43" t="s">
        <v>99</v>
      </c>
      <c r="B9" s="24" t="s">
        <v>8</v>
      </c>
      <c r="C9" s="46">
        <v>118</v>
      </c>
      <c r="D9" s="46">
        <v>129.9</v>
      </c>
      <c r="E9" s="46">
        <v>142.7</v>
      </c>
      <c r="F9" s="25">
        <f>E9*(1+Assumptions!F27)</f>
        <v>152.689</v>
      </c>
      <c r="G9" s="25">
        <f>F9*(1+Assumptions!G27)</f>
        <v>163.37723</v>
      </c>
      <c r="H9" s="25">
        <f>G9*(1+Assumptions!H27)</f>
        <v>173.99674994999998</v>
      </c>
      <c r="I9" s="25">
        <f>H9*(1+Assumptions!I27)</f>
        <v>184.436554947</v>
      </c>
      <c r="J9" s="25">
        <f>I9*(1+Assumptions!J27)</f>
        <v>194.58056546908497</v>
      </c>
    </row>
    <row r="10" spans="1:10">
      <c r="A10" s="30" t="s">
        <v>100</v>
      </c>
      <c r="B10" s="31" t="s">
        <v>8</v>
      </c>
      <c r="C10" s="56">
        <f>SUM(C7:C9)</f>
        <v>683.0</v>
      </c>
      <c r="D10" s="56">
        <f>SUM(D7:D9)</f>
        <v>743.8</v>
      </c>
      <c r="E10" s="56">
        <f>SUM(E7:E9)</f>
        <v>810.7</v>
      </c>
      <c r="F10" s="56">
        <f>SUM(F7:F9)</f>
        <v>871.889</v>
      </c>
      <c r="G10" s="56">
        <f>SUM(G7:G9)</f>
        <v>934.2094300000001</v>
      </c>
      <c r="H10" s="56">
        <f>SUM(H7:H9)</f>
        <v>996.42573795</v>
      </c>
      <c r="I10" s="56">
        <f>SUM(I7:I9)</f>
        <v>1055.936671035</v>
      </c>
      <c r="J10" s="56">
        <f>SUM(J7:J9)</f>
        <v>1111.677803928165</v>
      </c>
    </row>
    <row r="11" spans="1:10">
      <c r="A11" s="26" t="s">
        <v>9</v>
      </c>
      <c r="B11" s="24" t="s">
        <v>10</v>
      </c>
      <c r="D11" s="33">
        <f>D10/C10-1</f>
        <v>0.08901903367496322</v>
      </c>
      <c r="E11" s="33">
        <f>E10/D10-1</f>
        <v>0.08994353320785176</v>
      </c>
      <c r="F11" s="33">
        <f>F10/E10-1</f>
        <v>0.07547674848896002</v>
      </c>
      <c r="G11" s="33">
        <f>G10/F10-1</f>
        <v>0.0714774816519077</v>
      </c>
      <c r="H11" s="33">
        <f>H10/G10-1</f>
        <v>0.06659781624126815</v>
      </c>
      <c r="I11" s="33">
        <f>I10/H10-1</f>
        <v>0.059724403754799704</v>
      </c>
      <c r="J11" s="33">
        <f>J10/I10-1</f>
        <v>0.052788329472949425</v>
      </c>
    </row>
    <row r="13" spans="1:10">
      <c r="A13" s="11" t="s">
        <v>101</v>
      </c>
      <c r="B13" s="24" t="s">
        <v>8</v>
      </c>
      <c r="C13" s="46">
        <v>437.1</v>
      </c>
      <c r="D13" s="46">
        <v>472.3</v>
      </c>
      <c r="E13" s="46">
        <v>510.7</v>
      </c>
      <c r="F13" s="25">
        <f>F10*(1-Assumptions!F31)</f>
        <v>546.674403</v>
      </c>
      <c r="G13" s="25">
        <f>G10*(1-Assumptions!G31)</f>
        <v>583.88089375</v>
      </c>
      <c r="H13" s="25">
        <f>H10*(1-Assumptions!H31)</f>
        <v>619.7768090049</v>
      </c>
      <c r="I13" s="25">
        <f>I10*(1-Assumptions!I31)</f>
        <v>654.6807360417</v>
      </c>
      <c r="J13" s="25">
        <f>J10*(1-Assumptions!J31)</f>
        <v>689.2402384354623</v>
      </c>
    </row>
    <row r="14" spans="1:10">
      <c r="A14" s="30" t="s">
        <v>11</v>
      </c>
      <c r="B14" s="31" t="s">
        <v>8</v>
      </c>
      <c r="C14" s="56">
        <f>C10-C13</f>
        <v>245.89999999999998</v>
      </c>
      <c r="D14" s="56">
        <f>D10-D13</f>
        <v>271.49999999999994</v>
      </c>
      <c r="E14" s="56">
        <f>E10-E13</f>
        <v>300.00000000000006</v>
      </c>
      <c r="F14" s="56">
        <f>F10-F13</f>
        <v>325.214597</v>
      </c>
      <c r="G14" s="56">
        <f>G10-G13</f>
        <v>350.32853625000007</v>
      </c>
      <c r="H14" s="56">
        <f>H10-H13</f>
        <v>376.6489289451</v>
      </c>
      <c r="I14" s="56">
        <f>I10-I13</f>
        <v>401.2559349933</v>
      </c>
      <c r="J14" s="56">
        <f>J10-J13</f>
        <v>422.4375654927028</v>
      </c>
    </row>
    <row r="15" spans="1:10">
      <c r="A15" s="26" t="s">
        <v>12</v>
      </c>
      <c r="B15" s="24" t="s">
        <v>10</v>
      </c>
      <c r="C15" s="33">
        <f>C14/C10</f>
        <v>0.3600292825768667</v>
      </c>
      <c r="D15" s="33">
        <f>D14/D10</f>
        <v>0.3650174778166173</v>
      </c>
      <c r="E15" s="33">
        <f>E14/E10</f>
        <v>0.3700505735783891</v>
      </c>
      <c r="F15" s="33">
        <f>F14/F10</f>
        <v>0.373</v>
      </c>
      <c r="G15" s="33">
        <f>G14/G10</f>
        <v>0.37500000000000006</v>
      </c>
      <c r="H15" s="33">
        <f>H14/H10</f>
        <v>0.378</v>
      </c>
      <c r="I15" s="33">
        <f>I14/I10</f>
        <v>0.38</v>
      </c>
      <c r="J15" s="33">
        <f>J14/J10</f>
        <v>0.38000000000000006</v>
      </c>
    </row>
    <row r="16" spans="1:10">
      <c r="A16" s="11" t="s">
        <v>102</v>
      </c>
      <c r="B16" s="24" t="s">
        <v>8</v>
      </c>
      <c r="C16" s="46">
        <v>99</v>
      </c>
      <c r="D16" s="46">
        <v>106.4</v>
      </c>
      <c r="E16" s="46">
        <v>114.3</v>
      </c>
      <c r="F16" s="25">
        <f>F10*Assumptions!F35</f>
        <v>122.06446000000001</v>
      </c>
      <c r="G16" s="25">
        <f>G10*Assumptions!G35</f>
        <v>129.85511077000004</v>
      </c>
      <c r="H16" s="25">
        <f>H10*Assumptions!H35</f>
        <v>137.5067518371</v>
      </c>
      <c r="I16" s="25">
        <f>I10*Assumptions!I35</f>
        <v>144.66332393179502</v>
      </c>
      <c r="J16" s="25">
        <f>J10*Assumptions!J35</f>
        <v>151.18818133423045</v>
      </c>
    </row>
    <row r="17" spans="1:10">
      <c r="A17" s="11" t="s">
        <v>103</v>
      </c>
      <c r="B17" s="24" t="s">
        <v>8</v>
      </c>
      <c r="C17" s="46">
        <v>34.2</v>
      </c>
      <c r="D17" s="46">
        <v>37.2</v>
      </c>
      <c r="E17" s="46">
        <v>41.3</v>
      </c>
      <c r="F17" s="25">
        <f>F10*Assumptions!F53</f>
        <v>44.466339</v>
      </c>
      <c r="G17" s="25">
        <f>G10*Assumptions!G53</f>
        <v>47.64468093</v>
      </c>
      <c r="H17" s="25">
        <f>H10*Assumptions!H53</f>
        <v>50.81771263544999</v>
      </c>
      <c r="I17" s="25">
        <f>I10*Assumptions!I53</f>
        <v>53.852770222785</v>
      </c>
      <c r="J17" s="25">
        <f>J10*Assumptions!J53</f>
        <v>56.695568000336415</v>
      </c>
    </row>
    <row r="18" spans="1:10">
      <c r="A18" s="30" t="s">
        <v>13</v>
      </c>
      <c r="B18" s="31" t="s">
        <v>8</v>
      </c>
      <c r="C18" s="56">
        <f>C14-C16-C17</f>
        <v>112.69999999999997</v>
      </c>
      <c r="D18" s="56">
        <f>D14-D16-D17</f>
        <v>127.89999999999993</v>
      </c>
      <c r="E18" s="56">
        <f>E14-E16-E17</f>
        <v>144.40000000000003</v>
      </c>
      <c r="F18" s="56">
        <f>F14-F16-F17</f>
        <v>158.68379800000002</v>
      </c>
      <c r="G18" s="56">
        <f>G14-G16-G17</f>
        <v>172.82874455000004</v>
      </c>
      <c r="H18" s="56">
        <f>H14-H16-H17</f>
        <v>188.32446447255</v>
      </c>
      <c r="I18" s="56">
        <f>I14-I16-I17</f>
        <v>202.73984083871994</v>
      </c>
      <c r="J18" s="56">
        <f>J14-J16-J17</f>
        <v>214.55381615813596</v>
      </c>
    </row>
    <row r="19" spans="1:10">
      <c r="A19" s="26" t="s">
        <v>12</v>
      </c>
      <c r="B19" s="24" t="s">
        <v>10</v>
      </c>
      <c r="C19" s="33">
        <f>C18/C10</f>
        <v>0.16500732064421667</v>
      </c>
      <c r="D19" s="33">
        <f>D18/D10</f>
        <v>0.1719548265662812</v>
      </c>
      <c r="E19" s="33">
        <f>E18/E10</f>
        <v>0.17811767608239795</v>
      </c>
      <c r="F19" s="33">
        <f>F18/F10</f>
        <v>0.18200000000000002</v>
      </c>
      <c r="G19" s="33">
        <f>G18/G10</f>
        <v>0.18500000000000003</v>
      </c>
      <c r="H19" s="33">
        <f>H18/H10</f>
        <v>0.189</v>
      </c>
      <c r="I19" s="33">
        <f>I18/I10</f>
        <v>0.19199999999999995</v>
      </c>
      <c r="J19" s="33">
        <f>J18/J10</f>
        <v>0.1930000000000001</v>
      </c>
    </row>
    <row r="20" spans="1:10">
      <c r="A20" s="11" t="s">
        <v>104</v>
      </c>
      <c r="B20" s="24" t="s">
        <v>8</v>
      </c>
      <c r="C20" s="46">
        <v>30.5</v>
      </c>
      <c r="D20" s="46">
        <v>32.8</v>
      </c>
      <c r="E20" s="46">
        <v>35.4</v>
      </c>
      <c r="F20" s="25">
        <f>Schedules!F9</f>
        <v>37.41</v>
      </c>
      <c r="G20" s="25">
        <f>Schedules!G9</f>
        <v>40.203103825</v>
      </c>
      <c r="H20" s="25">
        <f>Schedules!H9</f>
        <v>42.907656913424994</v>
      </c>
      <c r="I20" s="25">
        <f>Schedules!I9</f>
        <v>45.35495058114336</v>
      </c>
      <c r="J20" s="25">
        <f>Schedules!J9</f>
        <v>47.658910150281926</v>
      </c>
    </row>
    <row r="21" spans="1:10">
      <c r="A21" s="30" t="s">
        <v>105</v>
      </c>
      <c r="B21" s="31" t="s">
        <v>8</v>
      </c>
      <c r="C21" s="56">
        <f>C18-C20</f>
        <v>82.19999999999997</v>
      </c>
      <c r="D21" s="56">
        <f>D18-D20</f>
        <v>95.09999999999994</v>
      </c>
      <c r="E21" s="56">
        <f>E18-E20</f>
        <v>109.00000000000003</v>
      </c>
      <c r="F21" s="56">
        <f>F18-F20</f>
        <v>121.27379800000003</v>
      </c>
      <c r="G21" s="56">
        <f>G18-G20</f>
        <v>132.62564072500004</v>
      </c>
      <c r="H21" s="56">
        <f>H18-H20</f>
        <v>145.416807559125</v>
      </c>
      <c r="I21" s="56">
        <f>I18-I20</f>
        <v>157.3848902575766</v>
      </c>
      <c r="J21" s="56">
        <f>J18-J20</f>
        <v>166.89490600785405</v>
      </c>
    </row>
    <row r="22" spans="1:10">
      <c r="A22" s="26" t="s">
        <v>12</v>
      </c>
      <c r="B22" s="24" t="s">
        <v>10</v>
      </c>
      <c r="C22" s="33">
        <f>C21/C10</f>
        <v>0.12035139092240113</v>
      </c>
      <c r="D22" s="33">
        <f>D21/D10</f>
        <v>0.1278569507932239</v>
      </c>
      <c r="E22" s="33">
        <f>E21/E10</f>
        <v>0.13445170840014806</v>
      </c>
      <c r="F22" s="33">
        <f>F21/F10</f>
        <v>0.1390931620882934</v>
      </c>
      <c r="G22" s="33">
        <f>G21/G10</f>
        <v>0.14196564117855245</v>
      </c>
      <c r="H22" s="33">
        <f>H21/H10</f>
        <v>0.1459384297502178</v>
      </c>
      <c r="I22" s="33">
        <f>I21/I10</f>
        <v>0.14904766031405298</v>
      </c>
      <c r="J22" s="33">
        <f>J21/J10</f>
        <v>0.1501288461621912</v>
      </c>
    </row>
    <row r="23" spans="1:10">
      <c r="A23" s="11" t="s">
        <v>106</v>
      </c>
      <c r="B23" s="24" t="s">
        <v>8</v>
      </c>
      <c r="C23" s="46">
        <v>14.6</v>
      </c>
      <c r="D23" s="46">
        <v>13.9</v>
      </c>
      <c r="E23" s="46">
        <v>13.1</v>
      </c>
      <c r="F23" s="25">
        <f>Schedules!F50</f>
        <v>12.15</v>
      </c>
      <c r="G23" s="25">
        <f>Schedules!G50</f>
        <v>10.4625</v>
      </c>
      <c r="H23" s="25">
        <f>Schedules!H50</f>
        <v>9.03523156077452</v>
      </c>
      <c r="I23" s="25">
        <f>Schedules!I50</f>
        <v>7.640938469164109</v>
      </c>
      <c r="J23" s="25">
        <f>Schedules!J50</f>
        <v>5.766781148386727</v>
      </c>
    </row>
    <row r="24" spans="1:10">
      <c r="A24" s="11" t="s">
        <v>107</v>
      </c>
      <c r="B24" s="24" t="s">
        <v>8</v>
      </c>
      <c r="C24" s="46">
        <v>1.9</v>
      </c>
      <c r="D24" s="46">
        <v>2.3</v>
      </c>
      <c r="E24" s="46">
        <v>2.6</v>
      </c>
      <c r="F24" s="25">
        <f>Schedules!F51</f>
        <v>2.215</v>
      </c>
      <c r="G24" s="25">
        <f>Schedules!G51</f>
        <v>1.7048375555308224</v>
      </c>
      <c r="H24" s="25">
        <f>Schedules!H51</f>
        <v>1.5</v>
      </c>
      <c r="I24" s="25">
        <f>Schedules!I51</f>
        <v>1.5</v>
      </c>
      <c r="J24" s="25">
        <f>Schedules!J51</f>
        <v>1.5</v>
      </c>
    </row>
    <row r="25" spans="1:10">
      <c r="A25" s="30" t="s">
        <v>108</v>
      </c>
      <c r="B25" s="31" t="s">
        <v>8</v>
      </c>
      <c r="C25" s="56">
        <f>C21-C23+C24</f>
        <v>69.49999999999999</v>
      </c>
      <c r="D25" s="56">
        <f>D21-D23+D24</f>
        <v>83.49999999999993</v>
      </c>
      <c r="E25" s="56">
        <f>E21-E23+E24</f>
        <v>98.50000000000003</v>
      </c>
      <c r="F25" s="56">
        <f>F21-F23+F24</f>
        <v>111.33879800000003</v>
      </c>
      <c r="G25" s="56">
        <f>G21-G23+G24</f>
        <v>123.86797828053085</v>
      </c>
      <c r="H25" s="56">
        <f>H21-H23+H24</f>
        <v>137.88157599835048</v>
      </c>
      <c r="I25" s="56">
        <f>I21-I23+I24</f>
        <v>151.2439517884125</v>
      </c>
      <c r="J25" s="56">
        <f>J21-J23+J24</f>
        <v>162.62812485946733</v>
      </c>
    </row>
    <row r="26" spans="1:10">
      <c r="A26" s="11" t="s">
        <v>109</v>
      </c>
      <c r="B26" s="24" t="s">
        <v>8</v>
      </c>
      <c r="C26" s="46">
        <v>17.4</v>
      </c>
      <c r="D26" s="46">
        <v>20.9</v>
      </c>
      <c r="E26" s="46">
        <v>24.6</v>
      </c>
      <c r="F26" s="25">
        <f>MAX(0,F25)*Assumptions!F58</f>
        <v>27.834699500000006</v>
      </c>
      <c r="G26" s="25">
        <f>MAX(0,G25)*Assumptions!G58</f>
        <v>30.966994570132712</v>
      </c>
      <c r="H26" s="25">
        <f>MAX(0,H25)*Assumptions!H58</f>
        <v>34.47039399958762</v>
      </c>
      <c r="I26" s="25">
        <f>MAX(0,I25)*Assumptions!I58</f>
        <v>37.81098794710312</v>
      </c>
      <c r="J26" s="25">
        <f>MAX(0,J25)*Assumptions!J58</f>
        <v>40.657031214866834</v>
      </c>
    </row>
    <row r="27" spans="1:10">
      <c r="A27" s="57" t="s">
        <v>15</v>
      </c>
      <c r="B27" s="58" t="s">
        <v>8</v>
      </c>
      <c r="C27" s="59">
        <f>C25-C26</f>
        <v>52.09999999999999</v>
      </c>
      <c r="D27" s="59">
        <f>D25-D26</f>
        <v>62.59999999999993</v>
      </c>
      <c r="E27" s="59">
        <f>E25-E26</f>
        <v>73.90000000000003</v>
      </c>
      <c r="F27" s="59">
        <f>F25-F26</f>
        <v>83.50409850000003</v>
      </c>
      <c r="G27" s="59">
        <f>G25-G26</f>
        <v>92.90098371039814</v>
      </c>
      <c r="H27" s="59">
        <f>H25-H26</f>
        <v>103.41118199876286</v>
      </c>
      <c r="I27" s="59">
        <f>I25-I26</f>
        <v>113.43296384130937</v>
      </c>
      <c r="J27" s="59">
        <f>J25-J26</f>
        <v>121.9710936446005</v>
      </c>
    </row>
    <row r="28" spans="1:10">
      <c r="A28" s="26" t="s">
        <v>12</v>
      </c>
      <c r="B28" s="24" t="s">
        <v>10</v>
      </c>
      <c r="C28" s="33">
        <f>C27/C10</f>
        <v>0.07628111273792092</v>
      </c>
      <c r="D28" s="33">
        <f>D27/D10</f>
        <v>0.08416240924979825</v>
      </c>
      <c r="E28" s="33">
        <f>E27/E10</f>
        <v>0.09115579129147654</v>
      </c>
      <c r="F28" s="33">
        <f>F27/F10</f>
        <v>0.09577377223476845</v>
      </c>
      <c r="G28" s="33">
        <f>G27/G10</f>
        <v>0.09944342320586308</v>
      </c>
      <c r="H28" s="33">
        <f>H27/H10</f>
        <v>0.10378212651503384</v>
      </c>
      <c r="I28" s="33">
        <f>I27/I10</f>
        <v>0.10742402167937355</v>
      </c>
      <c r="J28" s="33">
        <f>J27/J10</f>
        <v>0.10971802550488098</v>
      </c>
    </row>
    <row r="29" spans="1:10">
      <c r="A29" s="26" t="s">
        <v>110</v>
      </c>
      <c r="B29" s="24" t="s">
        <v>10</v>
      </c>
      <c r="C29" s="33">
        <f>IF(C25&gt;0,C26/C25,0)</f>
        <v>0.25035971223021586</v>
      </c>
      <c r="D29" s="33">
        <f>IF(D25&gt;0,D26/D25,0)</f>
        <v>0.25029940119760496</v>
      </c>
      <c r="E29" s="33">
        <f>IF(E25&gt;0,E26/E25,0)</f>
        <v>0.24974619289340097</v>
      </c>
      <c r="F29" s="33">
        <f>IF(F25&gt;0,F26/F25,0)</f>
        <v>0.25</v>
      </c>
      <c r="G29" s="33">
        <f>IF(G25&gt;0,G26/G25,0)</f>
        <v>0.25</v>
      </c>
      <c r="H29" s="33">
        <f>IF(H25&gt;0,H26/H25,0)</f>
        <v>0.25</v>
      </c>
      <c r="I29" s="33">
        <f>IF(I25&gt;0,I26/I25,0)</f>
        <v>0.25</v>
      </c>
      <c r="J29" s="33">
        <f>IF(J25&gt;0,J26/J25,0)</f>
        <v>0.25</v>
      </c>
    </row>
    <row r="31" spans="1:10">
      <c r="A31" s="5" t="s">
        <v>111</v>
      </c>
      <c r="B31" s="5"/>
      <c r="C31" s="5"/>
      <c r="D31" s="5"/>
      <c r="E31" s="5"/>
      <c r="F31" s="5"/>
      <c r="G31" s="5"/>
      <c r="H31" s="5"/>
      <c r="I31" s="5"/>
      <c r="J31" s="5"/>
    </row>
    <row r="32" spans="1:10">
      <c r="A32" s="11" t="s">
        <v>112</v>
      </c>
      <c r="B32" s="24" t="s">
        <v>113</v>
      </c>
      <c r="C32" s="25">
        <f>Schedules!C72</f>
        <v>41.8</v>
      </c>
      <c r="D32" s="25">
        <f>Schedules!D72</f>
        <v>41.1</v>
      </c>
      <c r="E32" s="25">
        <f>Schedules!E72</f>
        <v>40.4</v>
      </c>
      <c r="F32" s="25">
        <f>Schedules!F72</f>
        <v>39.55357142857143</v>
      </c>
      <c r="G32" s="25">
        <f>Schedules!G72</f>
        <v>38.68341404358354</v>
      </c>
      <c r="H32" s="25">
        <f>Schedules!H72</f>
        <v>37.8564594235726</v>
      </c>
      <c r="I32" s="25">
        <f>Schedules!I72</f>
        <v>36.99169515558253</v>
      </c>
      <c r="J32" s="25">
        <f>Schedules!J72</f>
        <v>36.088980223455835</v>
      </c>
    </row>
    <row r="33" spans="1:10">
      <c r="A33" s="11" t="s">
        <v>16</v>
      </c>
      <c r="B33" s="24" t="s">
        <v>17</v>
      </c>
      <c r="C33" s="60">
        <f>C27/C32</f>
        <v>1.2464114832535882</v>
      </c>
      <c r="D33" s="60">
        <f>D27/D32</f>
        <v>1.523114355231142</v>
      </c>
      <c r="E33" s="60">
        <f>E27/E32</f>
        <v>1.8292079207920802</v>
      </c>
      <c r="F33" s="60">
        <f>F27/F32</f>
        <v>2.11116456704289</v>
      </c>
      <c r="G33" s="60">
        <f>G27/G32</f>
        <v>2.4015714746823833</v>
      </c>
      <c r="H33" s="60">
        <f>H27/H32</f>
        <v>2.7316654429222824</v>
      </c>
      <c r="I33" s="60">
        <f>I27/I32</f>
        <v>3.0664440589765958</v>
      </c>
      <c r="J33" s="60">
        <f>J27/J32</f>
        <v>3.37973234182234</v>
      </c>
    </row>
    <row r="34" spans="1:10">
      <c r="A34" s="11" t="s">
        <v>114</v>
      </c>
      <c r="B34" s="24" t="s">
        <v>17</v>
      </c>
      <c r="D34" s="29">
        <f>Schedules!D56/D32</f>
        <v>0.45742092457420674</v>
      </c>
      <c r="E34" s="29">
        <f>Schedules!E56/E32</f>
        <v>0.5495049504950507</v>
      </c>
      <c r="F34" s="29">
        <f>Schedules!F56/F32</f>
        <v>0.633349370112867</v>
      </c>
      <c r="G34" s="29">
        <f>Schedules!G56/G32</f>
        <v>0.720471442404715</v>
      </c>
      <c r="H34" s="29">
        <f>Schedules!H56/H32</f>
        <v>0.8194996328766847</v>
      </c>
      <c r="I34" s="29">
        <f>Schedules!I56/I32</f>
        <v>0.9199332176929786</v>
      </c>
      <c r="J34" s="29">
        <f>Schedules!J56/J32</f>
        <v>1.013919702546702</v>
      </c>
    </row>
  </sheetData>
  <mergeCells count="2">
    <mergeCell ref="C4:E4"/>
    <mergeCell ref="F4:J4"/>
  </mergeCells>
  <printOptions horizontalCentered="1"/>
  <pageMargins left="0.5" right="0.5" top="0.6" bottom="0.6" header="0.3" footer="0.3"/>
  <pageSetup paperSize="1" fitToHeight="0" orientation="landscape"/>
  <headerFooter>
    <oddFooter>&amp;L&amp;8Northwind Components Inc. (fictional company)&amp;C&amp;8&amp;A&amp;R&amp;8Page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4A7FB5"/>
    <pageSetUpPr fitToPage="1"/>
  </sheetPr>
  <dimension ref="A1:J31"/>
  <sheetViews>
    <sheetView showGridLines="0" zoomScale="90" zoomScaleNormal="90" workbookViewId="0">
      <pane xSplit="2" ySplit="5" topLeftCell="C6" activePane="bottomRight" state="frozen"/>
      <selection pane="topRight" activeCell="C1" sqref="C1"/>
      <selection pane="bottomLeft" activeCell="A6" sqref="A6"/>
      <selection pane="bottomRight"/>
    </sheetView>
  </sheetViews>
  <sheetFormatPr defaultRowHeight="15"/>
  <cols>
    <col min="1" max="1" width="44.7109375" customWidth="1"/>
    <col min="2" max="2" width="7.7109375" customWidth="1"/>
    <col min="3" max="10" width="11.7109375" customWidth="1"/>
  </cols>
  <sheetData>
    <row r="1" spans="1:10">
      <c r="A1" s="18" t="s">
        <v>115</v>
      </c>
    </row>
    <row r="2" spans="1:10">
      <c r="A2" s="4" t="s">
        <v>116</v>
      </c>
    </row>
    <row r="3" spans="1:10">
      <c r="A3" s="19" t="str">
        <f>"Scenario: "&amp;Scenario</f>
        <v>Scenario: Base</v>
      </c>
    </row>
    <row r="4" spans="1:10">
      <c r="C4" s="20" t="s">
        <v>2</v>
      </c>
      <c r="D4" s="20"/>
      <c r="E4" s="20"/>
      <c r="F4" s="20" t="s">
        <v>3</v>
      </c>
      <c r="G4" s="20"/>
      <c r="H4" s="20"/>
      <c r="I4" s="20"/>
      <c r="J4" s="20"/>
    </row>
    <row r="5" spans="1:10">
      <c r="A5" s="21" t="s">
        <v>4</v>
      </c>
      <c r="B5" s="22" t="s">
        <v>5</v>
      </c>
      <c r="C5" s="37">
        <f>Assumptions!C$5</f>
        <v>2023</v>
      </c>
      <c r="D5" s="37">
        <f>Assumptions!D$5</f>
        <v>2024</v>
      </c>
      <c r="E5" s="37">
        <f>Assumptions!E$5</f>
        <v>2025</v>
      </c>
      <c r="F5" s="38">
        <f>Assumptions!F$5</f>
        <v>2026</v>
      </c>
      <c r="G5" s="38">
        <f>Assumptions!G$5</f>
        <v>2027</v>
      </c>
      <c r="H5" s="38">
        <f>Assumptions!H$5</f>
        <v>2028</v>
      </c>
      <c r="I5" s="38">
        <f>Assumptions!I$5</f>
        <v>2029</v>
      </c>
      <c r="J5" s="38">
        <f>Assumptions!J$5</f>
        <v>2030</v>
      </c>
    </row>
    <row r="6" spans="1:10">
      <c r="A6" s="5" t="s">
        <v>117</v>
      </c>
      <c r="B6" s="5"/>
      <c r="C6" s="5"/>
      <c r="D6" s="5"/>
      <c r="E6" s="5"/>
      <c r="F6" s="5"/>
      <c r="G6" s="5"/>
      <c r="H6" s="5"/>
      <c r="I6" s="5"/>
      <c r="J6" s="5"/>
    </row>
    <row r="7" spans="1:10">
      <c r="A7" s="43" t="s">
        <v>25</v>
      </c>
      <c r="B7" s="24" t="s">
        <v>8</v>
      </c>
      <c r="C7" s="46">
        <v>118.2</v>
      </c>
      <c r="D7" s="46">
        <v>92.59999999999999</v>
      </c>
      <c r="E7" s="46">
        <v>88.59999999999999</v>
      </c>
      <c r="F7" s="25">
        <f>'Cash Flow'!F30</f>
        <v>68.19350222123289</v>
      </c>
      <c r="G7" s="25">
        <f>'Cash Flow'!G30</f>
        <v>60.0</v>
      </c>
      <c r="H7" s="25">
        <f>'Cash Flow'!H30</f>
        <v>60.0</v>
      </c>
      <c r="I7" s="25">
        <f>'Cash Flow'!I30</f>
        <v>60.0</v>
      </c>
      <c r="J7" s="25">
        <f>'Cash Flow'!J30</f>
        <v>64.8004924732946</v>
      </c>
    </row>
    <row r="8" spans="1:10">
      <c r="A8" s="43" t="s">
        <v>118</v>
      </c>
      <c r="B8" s="24" t="s">
        <v>8</v>
      </c>
      <c r="C8" s="46">
        <v>95.40000000000001</v>
      </c>
      <c r="D8" s="46">
        <v>106</v>
      </c>
      <c r="E8" s="46">
        <v>115.5</v>
      </c>
      <c r="F8" s="25">
        <f>Schedules!F13</f>
        <v>124.21432328767123</v>
      </c>
      <c r="G8" s="25">
        <f>Schedules!G13</f>
        <v>133.09285030136988</v>
      </c>
      <c r="H8" s="25">
        <f>Schedules!H13</f>
        <v>141.95654348876712</v>
      </c>
      <c r="I8" s="25">
        <f>Schedules!I13</f>
        <v>148.98832481726714</v>
      </c>
      <c r="J8" s="25">
        <f>Schedules!J13</f>
        <v>155.33032328859295</v>
      </c>
    </row>
    <row r="9" spans="1:10">
      <c r="A9" s="43" t="s">
        <v>119</v>
      </c>
      <c r="B9" s="24" t="s">
        <v>8</v>
      </c>
      <c r="C9" s="46">
        <v>92.2</v>
      </c>
      <c r="D9" s="46">
        <v>98.3</v>
      </c>
      <c r="E9" s="46">
        <v>104.9</v>
      </c>
      <c r="F9" s="25">
        <f>Schedules!F14</f>
        <v>112.3303567808219</v>
      </c>
      <c r="G9" s="25">
        <f>Schedules!G14</f>
        <v>118.37585243150686</v>
      </c>
      <c r="H9" s="25">
        <f>Schedules!H14</f>
        <v>125.65338045578794</v>
      </c>
      <c r="I9" s="25">
        <f>Schedules!I14</f>
        <v>130.93614720834</v>
      </c>
      <c r="J9" s="25">
        <f>Schedules!J14</f>
        <v>137.84804768709247</v>
      </c>
    </row>
    <row r="10" spans="1:10">
      <c r="A10" s="43" t="s">
        <v>120</v>
      </c>
      <c r="B10" s="24" t="s">
        <v>8</v>
      </c>
      <c r="C10" s="46">
        <v>17.1</v>
      </c>
      <c r="D10" s="46">
        <v>18.6</v>
      </c>
      <c r="E10" s="46">
        <v>20.3</v>
      </c>
      <c r="F10" s="25">
        <f>Schedules!F15</f>
        <v>21.797225</v>
      </c>
      <c r="G10" s="25">
        <f>Schedules!G15</f>
        <v>23.355235750000006</v>
      </c>
      <c r="H10" s="25">
        <f>Schedules!H15</f>
        <v>24.91064344875</v>
      </c>
      <c r="I10" s="25">
        <f>Schedules!I15</f>
        <v>26.398416775875003</v>
      </c>
      <c r="J10" s="25">
        <f>Schedules!J15</f>
        <v>27.791945098204128</v>
      </c>
    </row>
    <row r="11" spans="1:10">
      <c r="A11" s="30" t="s">
        <v>121</v>
      </c>
      <c r="B11" s="31" t="s">
        <v>8</v>
      </c>
      <c r="C11" s="56">
        <f>SUM(C7:C10)</f>
        <v>322.90000000000003</v>
      </c>
      <c r="D11" s="56">
        <f>SUM(D7:D10)</f>
        <v>315.5</v>
      </c>
      <c r="E11" s="56">
        <f>SUM(E7:E10)</f>
        <v>329.3</v>
      </c>
      <c r="F11" s="56">
        <f>SUM(F7:F10)</f>
        <v>326.53540728972604</v>
      </c>
      <c r="G11" s="56">
        <f>SUM(G7:G10)</f>
        <v>334.82393848287677</v>
      </c>
      <c r="H11" s="56">
        <f>SUM(H7:H10)</f>
        <v>352.5205673933051</v>
      </c>
      <c r="I11" s="56">
        <f>SUM(I7:I10)</f>
        <v>366.3228888014821</v>
      </c>
      <c r="J11" s="56">
        <f>SUM(J7:J10)</f>
        <v>385.7708085471842</v>
      </c>
    </row>
    <row r="12" spans="1:10">
      <c r="A12" s="43" t="s">
        <v>122</v>
      </c>
      <c r="B12" s="24" t="s">
        <v>8</v>
      </c>
      <c r="C12" s="46">
        <v>226</v>
      </c>
      <c r="D12" s="46">
        <v>241.3</v>
      </c>
      <c r="E12" s="46">
        <v>258</v>
      </c>
      <c r="F12" s="25">
        <f>Schedules!F10</f>
        <v>277.262785</v>
      </c>
      <c r="G12" s="25">
        <f>Schedules!G10</f>
        <v>295.914875265</v>
      </c>
      <c r="H12" s="25">
        <f>Schedules!H10</f>
        <v>312.79276262857496</v>
      </c>
      <c r="I12" s="25">
        <f>Schedules!I10</f>
        <v>328.6821389674616</v>
      </c>
      <c r="J12" s="25">
        <f>Schedules!J10</f>
        <v>342.1655080332287</v>
      </c>
    </row>
    <row r="13" spans="1:10">
      <c r="A13" s="43" t="s">
        <v>123</v>
      </c>
      <c r="B13" s="24" t="s">
        <v>8</v>
      </c>
      <c r="C13" s="46">
        <v>140</v>
      </c>
      <c r="D13" s="46">
        <v>140</v>
      </c>
      <c r="E13" s="46">
        <v>140</v>
      </c>
      <c r="F13" s="61">
        <f>E13</f>
        <v>140.0</v>
      </c>
      <c r="G13" s="61">
        <f>F13</f>
        <v>140.0</v>
      </c>
      <c r="H13" s="61">
        <f>G13</f>
        <v>140.0</v>
      </c>
      <c r="I13" s="61">
        <f>H13</f>
        <v>140.0</v>
      </c>
      <c r="J13" s="61">
        <f>I13</f>
        <v>140.0</v>
      </c>
    </row>
    <row r="14" spans="1:10">
      <c r="A14" s="57" t="s">
        <v>124</v>
      </c>
      <c r="B14" s="58" t="s">
        <v>8</v>
      </c>
      <c r="C14" s="59">
        <f>C11+C12+C13</f>
        <v>688.9000000000001</v>
      </c>
      <c r="D14" s="59">
        <f>D11+D12+D13</f>
        <v>696.8</v>
      </c>
      <c r="E14" s="59">
        <f>E11+E12+E13</f>
        <v>727.3</v>
      </c>
      <c r="F14" s="59">
        <f>F11+F12+F13</f>
        <v>743.7981922897261</v>
      </c>
      <c r="G14" s="59">
        <f>G11+G12+G13</f>
        <v>770.7388137478767</v>
      </c>
      <c r="H14" s="59">
        <f>H11+H12+H13</f>
        <v>805.3133300218801</v>
      </c>
      <c r="I14" s="59">
        <f>I11+I12+I13</f>
        <v>835.0050277689437</v>
      </c>
      <c r="J14" s="59">
        <f>J11+J12+J13</f>
        <v>867.936316580413</v>
      </c>
    </row>
    <row r="16" spans="1:10">
      <c r="A16" s="5" t="s">
        <v>125</v>
      </c>
      <c r="B16" s="5"/>
      <c r="C16" s="5"/>
      <c r="D16" s="5"/>
      <c r="E16" s="5"/>
      <c r="F16" s="5"/>
      <c r="G16" s="5"/>
      <c r="H16" s="5"/>
      <c r="I16" s="5"/>
      <c r="J16" s="5"/>
    </row>
    <row r="17" spans="1:10">
      <c r="A17" s="43" t="s">
        <v>126</v>
      </c>
      <c r="B17" s="24" t="s">
        <v>8</v>
      </c>
      <c r="C17" s="46">
        <v>56.3</v>
      </c>
      <c r="D17" s="46">
        <v>62.1</v>
      </c>
      <c r="E17" s="46">
        <v>67.2</v>
      </c>
      <c r="F17" s="25">
        <f>Schedules!F16</f>
        <v>71.89142833972602</v>
      </c>
      <c r="G17" s="25">
        <f>Schedules!G16</f>
        <v>76.78433671232877</v>
      </c>
      <c r="H17" s="25">
        <f>Schedules!H16</f>
        <v>81.50489543078136</v>
      </c>
      <c r="I17" s="25">
        <f>Schedules!I16</f>
        <v>86.09500090411396</v>
      </c>
      <c r="J17" s="25">
        <f>Schedules!J16</f>
        <v>90.6398121778142</v>
      </c>
    </row>
    <row r="18" spans="1:10">
      <c r="A18" s="43" t="s">
        <v>127</v>
      </c>
      <c r="B18" s="24" t="s">
        <v>8</v>
      </c>
      <c r="C18" s="46">
        <v>37.6</v>
      </c>
      <c r="D18" s="46">
        <v>40.9</v>
      </c>
      <c r="E18" s="46">
        <v>44.6</v>
      </c>
      <c r="F18" s="25">
        <f>Schedules!F17</f>
        <v>47.953895</v>
      </c>
      <c r="G18" s="25">
        <f>Schedules!G17</f>
        <v>51.381518650000004</v>
      </c>
      <c r="H18" s="25">
        <f>Schedules!H17</f>
        <v>54.80341558725</v>
      </c>
      <c r="I18" s="25">
        <f>Schedules!I17</f>
        <v>58.076516906925</v>
      </c>
      <c r="J18" s="25">
        <f>Schedules!J17</f>
        <v>61.14227921604908</v>
      </c>
    </row>
    <row r="19" spans="1:10">
      <c r="A19" s="43" t="s">
        <v>128</v>
      </c>
      <c r="B19" s="24" t="s">
        <v>8</v>
      </c>
      <c r="C19" s="46">
        <v>15</v>
      </c>
      <c r="D19" s="46">
        <v>0</v>
      </c>
      <c r="E19" s="46">
        <v>0</v>
      </c>
      <c r="F19" s="25">
        <f>Schedules!F41</f>
        <v>0.0</v>
      </c>
      <c r="G19" s="25">
        <f>Schedules!G41</f>
        <v>3.589400838269242</v>
      </c>
      <c r="H19" s="25">
        <f>Schedules!H41</f>
        <v>7.633634057435984</v>
      </c>
      <c r="I19" s="25">
        <f>Schedules!I41</f>
        <v>5.059050322575544</v>
      </c>
      <c r="J19" s="25">
        <f>Schedules!J41</f>
        <v>0.0</v>
      </c>
    </row>
    <row r="20" spans="1:10">
      <c r="A20" s="43" t="s">
        <v>129</v>
      </c>
      <c r="B20" s="24" t="s">
        <v>8</v>
      </c>
      <c r="C20" s="46">
        <v>210</v>
      </c>
      <c r="D20" s="46">
        <v>195</v>
      </c>
      <c r="E20" s="46">
        <v>180</v>
      </c>
      <c r="F20" s="25">
        <f>Schedules!F24</f>
        <v>155.0</v>
      </c>
      <c r="G20" s="25">
        <f>Schedules!G24</f>
        <v>130.0</v>
      </c>
      <c r="H20" s="25">
        <f>Schedules!H24</f>
        <v>105.0</v>
      </c>
      <c r="I20" s="25">
        <f>Schedules!I24</f>
        <v>80.0</v>
      </c>
      <c r="J20" s="25">
        <f>Schedules!J24</f>
        <v>55.0</v>
      </c>
    </row>
    <row r="21" spans="1:10">
      <c r="A21" s="43" t="s">
        <v>130</v>
      </c>
      <c r="B21" s="24" t="s">
        <v>8</v>
      </c>
      <c r="C21" s="46">
        <v>30</v>
      </c>
      <c r="D21" s="46">
        <v>30</v>
      </c>
      <c r="E21" s="46">
        <v>30</v>
      </c>
      <c r="F21" s="61">
        <f>E21</f>
        <v>30.0</v>
      </c>
      <c r="G21" s="61">
        <f>F21</f>
        <v>30.0</v>
      </c>
      <c r="H21" s="61">
        <f>G21</f>
        <v>30.0</v>
      </c>
      <c r="I21" s="61">
        <f>H21</f>
        <v>30.0</v>
      </c>
      <c r="J21" s="61">
        <f>I21</f>
        <v>30.0</v>
      </c>
    </row>
    <row r="22" spans="1:10">
      <c r="A22" s="30" t="s">
        <v>131</v>
      </c>
      <c r="B22" s="31" t="s">
        <v>8</v>
      </c>
      <c r="C22" s="56">
        <f>SUM(C17:C21)</f>
        <v>348.9</v>
      </c>
      <c r="D22" s="56">
        <f>SUM(D17:D21)</f>
        <v>328.0</v>
      </c>
      <c r="E22" s="56">
        <f>SUM(E17:E21)</f>
        <v>321.8</v>
      </c>
      <c r="F22" s="56">
        <f>SUM(F17:F21)</f>
        <v>304.845323339726</v>
      </c>
      <c r="G22" s="56">
        <f>SUM(G17:G21)</f>
        <v>291.755256200598</v>
      </c>
      <c r="H22" s="56">
        <f>SUM(H17:H21)</f>
        <v>278.94194507546734</v>
      </c>
      <c r="I22" s="56">
        <f>SUM(I17:I21)</f>
        <v>259.2305681336145</v>
      </c>
      <c r="J22" s="56">
        <f>SUM(J17:J21)</f>
        <v>236.78209139386328</v>
      </c>
    </row>
    <row r="24" spans="1:10">
      <c r="A24" s="5" t="s">
        <v>132</v>
      </c>
      <c r="B24" s="5"/>
      <c r="C24" s="5"/>
      <c r="D24" s="5"/>
      <c r="E24" s="5"/>
      <c r="F24" s="5"/>
      <c r="G24" s="5"/>
      <c r="H24" s="5"/>
      <c r="I24" s="5"/>
      <c r="J24" s="5"/>
    </row>
    <row r="25" spans="1:10">
      <c r="A25" s="43" t="s">
        <v>133</v>
      </c>
      <c r="B25" s="24" t="s">
        <v>8</v>
      </c>
      <c r="C25" s="46">
        <v>120</v>
      </c>
      <c r="D25" s="46">
        <v>120</v>
      </c>
      <c r="E25" s="46">
        <v>120</v>
      </c>
      <c r="F25" s="25">
        <f>Schedules!F62</f>
        <v>125.0</v>
      </c>
      <c r="G25" s="25">
        <f>Schedules!G62</f>
        <v>130.0</v>
      </c>
      <c r="H25" s="25">
        <f>Schedules!H62</f>
        <v>135.0</v>
      </c>
      <c r="I25" s="25">
        <f>Schedules!I62</f>
        <v>140.0</v>
      </c>
      <c r="J25" s="25">
        <f>Schedules!J62</f>
        <v>145.0</v>
      </c>
    </row>
    <row r="26" spans="1:10">
      <c r="A26" s="43" t="s">
        <v>134</v>
      </c>
      <c r="B26" s="24" t="s">
        <v>8</v>
      </c>
      <c r="C26" s="46">
        <v>240</v>
      </c>
      <c r="D26" s="46">
        <v>283.8</v>
      </c>
      <c r="E26" s="46">
        <v>335.5</v>
      </c>
      <c r="F26" s="25">
        <f>Schedules!F57</f>
        <v>393.95286895000004</v>
      </c>
      <c r="G26" s="25">
        <f>Schedules!G57</f>
        <v>458.98355754727874</v>
      </c>
      <c r="H26" s="25">
        <f>Schedules!H57</f>
        <v>531.3713849464127</v>
      </c>
      <c r="I26" s="25">
        <f>Schedules!I57</f>
        <v>610.7744596353293</v>
      </c>
      <c r="J26" s="25">
        <f>Schedules!J57</f>
        <v>696.1542251865496</v>
      </c>
    </row>
    <row r="27" spans="1:10">
      <c r="A27" s="43" t="s">
        <v>135</v>
      </c>
      <c r="B27" s="24" t="s">
        <v>8</v>
      </c>
      <c r="C27" s="46">
        <v>-20</v>
      </c>
      <c r="D27" s="46">
        <v>-35</v>
      </c>
      <c r="E27" s="46">
        <v>-50</v>
      </c>
      <c r="F27" s="25">
        <f>Schedules!F65</f>
        <v>-80.0</v>
      </c>
      <c r="G27" s="25">
        <f>Schedules!G65</f>
        <v>-110.0</v>
      </c>
      <c r="H27" s="25">
        <f>Schedules!H65</f>
        <v>-140.0</v>
      </c>
      <c r="I27" s="25">
        <f>Schedules!I65</f>
        <v>-175.0</v>
      </c>
      <c r="J27" s="25">
        <f>Schedules!J65</f>
        <v>-210.0</v>
      </c>
    </row>
    <row r="28" spans="1:10">
      <c r="A28" s="30" t="s">
        <v>136</v>
      </c>
      <c r="B28" s="31" t="s">
        <v>8</v>
      </c>
      <c r="C28" s="56">
        <f>SUM(C25:C27)</f>
        <v>340.0</v>
      </c>
      <c r="D28" s="56">
        <f>SUM(D25:D27)</f>
        <v>368.8</v>
      </c>
      <c r="E28" s="56">
        <f>SUM(E25:E27)</f>
        <v>405.5</v>
      </c>
      <c r="F28" s="56">
        <f>SUM(F25:F27)</f>
        <v>438.95286895000004</v>
      </c>
      <c r="G28" s="56">
        <f>SUM(G25:G27)</f>
        <v>478.9835575472787</v>
      </c>
      <c r="H28" s="56">
        <f>SUM(H25:H27)</f>
        <v>526.3713849464127</v>
      </c>
      <c r="I28" s="56">
        <f>SUM(I25:I27)</f>
        <v>575.7744596353293</v>
      </c>
      <c r="J28" s="56">
        <f>SUM(J25:J27)</f>
        <v>631.1542251865496</v>
      </c>
    </row>
    <row r="29" spans="1:10">
      <c r="A29" s="57" t="s">
        <v>137</v>
      </c>
      <c r="B29" s="58" t="s">
        <v>8</v>
      </c>
      <c r="C29" s="59">
        <f>C22+C28</f>
        <v>688.9</v>
      </c>
      <c r="D29" s="59">
        <f>D22+D28</f>
        <v>696.8</v>
      </c>
      <c r="E29" s="59">
        <f>E22+E28</f>
        <v>727.3</v>
      </c>
      <c r="F29" s="59">
        <f>F22+F28</f>
        <v>743.7981922897261</v>
      </c>
      <c r="G29" s="59">
        <f>G22+G28</f>
        <v>770.7388137478767</v>
      </c>
      <c r="H29" s="59">
        <f>H22+H28</f>
        <v>805.3133300218801</v>
      </c>
      <c r="I29" s="59">
        <f>I22+I28</f>
        <v>835.0050277689438</v>
      </c>
      <c r="J29" s="59">
        <f>J22+J28</f>
        <v>867.936316580413</v>
      </c>
    </row>
    <row r="31" spans="1:10">
      <c r="A31" s="62" t="s">
        <v>138</v>
      </c>
      <c r="B31" s="24" t="s">
        <v>8</v>
      </c>
      <c r="C31" s="63">
        <f>ROUND(C14-C29,6)</f>
        <v>1.1368683772161603e-13</v>
      </c>
      <c r="D31" s="63">
        <f>ROUND(D14-D29,6)</f>
        <v>0.0</v>
      </c>
      <c r="E31" s="63">
        <f>ROUND(E14-E29,6)</f>
        <v>0.0</v>
      </c>
      <c r="F31" s="63">
        <f>ROUND(F14-F29,6)</f>
        <v>0.0</v>
      </c>
      <c r="G31" s="63">
        <f>ROUND(G14-G29,6)</f>
        <v>0.0</v>
      </c>
      <c r="H31" s="63">
        <f>ROUND(H14-H29,6)</f>
        <v>0.0</v>
      </c>
      <c r="I31" s="63">
        <f>ROUND(I14-I29,6)</f>
        <v>-1.1368683772161603e-13</v>
      </c>
      <c r="J31" s="63">
        <f>ROUND(J14-J29,6)</f>
        <v>0.0</v>
      </c>
    </row>
  </sheetData>
  <mergeCells count="2">
    <mergeCell ref="C4:E4"/>
    <mergeCell ref="F4:J4"/>
  </mergeCells>
  <printOptions horizontalCentered="1"/>
  <pageMargins left="0.5" right="0.5" top="0.6" bottom="0.6" header="0.3" footer="0.3"/>
  <pageSetup paperSize="1" fitToHeight="0" orientation="landscape"/>
  <headerFooter>
    <oddFooter>&amp;L&amp;8Northwind Components Inc. (fictional company)&amp;C&amp;8&amp;A&amp;R&amp;8Page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4A7FB5"/>
    <pageSetUpPr fitToPage="1"/>
  </sheetPr>
  <dimension ref="A1:J33"/>
  <sheetViews>
    <sheetView showGridLines="0" zoomScale="90" zoomScaleNormal="90" workbookViewId="0">
      <pane xSplit="2" ySplit="5" topLeftCell="C6" activePane="bottomRight" state="frozen"/>
      <selection pane="topRight" activeCell="C1" sqref="C1"/>
      <selection pane="bottomLeft" activeCell="A6" sqref="A6"/>
      <selection pane="bottomRight"/>
    </sheetView>
  </sheetViews>
  <sheetFormatPr defaultRowHeight="15"/>
  <cols>
    <col min="1" max="1" width="44.7109375" customWidth="1"/>
    <col min="2" max="2" width="7.7109375" customWidth="1"/>
    <col min="3" max="10" width="11.7109375" customWidth="1"/>
  </cols>
  <sheetData>
    <row r="1" spans="1:10">
      <c r="A1" s="18" t="s">
        <v>139</v>
      </c>
    </row>
    <row r="2" spans="1:10">
      <c r="A2" s="4" t="s">
        <v>140</v>
      </c>
    </row>
    <row r="3" spans="1:10">
      <c r="A3" s="19" t="str">
        <f>"Scenario: "&amp;Scenario</f>
        <v>Scenario: Base</v>
      </c>
    </row>
    <row r="4" spans="1:10">
      <c r="C4" s="20" t="s">
        <v>2</v>
      </c>
      <c r="D4" s="20"/>
      <c r="E4" s="20"/>
      <c r="F4" s="20" t="s">
        <v>3</v>
      </c>
      <c r="G4" s="20"/>
      <c r="H4" s="20"/>
      <c r="I4" s="20"/>
      <c r="J4" s="20"/>
    </row>
    <row r="5" spans="1:10">
      <c r="A5" s="21" t="s">
        <v>4</v>
      </c>
      <c r="B5" s="22" t="s">
        <v>5</v>
      </c>
      <c r="C5" s="37">
        <f>Assumptions!C$5</f>
        <v>2023</v>
      </c>
      <c r="D5" s="37">
        <f>Assumptions!D$5</f>
        <v>2024</v>
      </c>
      <c r="E5" s="37">
        <f>Assumptions!E$5</f>
        <v>2025</v>
      </c>
      <c r="F5" s="38">
        <f>Assumptions!F$5</f>
        <v>2026</v>
      </c>
      <c r="G5" s="38">
        <f>Assumptions!G$5</f>
        <v>2027</v>
      </c>
      <c r="H5" s="38">
        <f>Assumptions!H$5</f>
        <v>2028</v>
      </c>
      <c r="I5" s="38">
        <f>Assumptions!I$5</f>
        <v>2029</v>
      </c>
      <c r="J5" s="38">
        <f>Assumptions!J$5</f>
        <v>2030</v>
      </c>
    </row>
    <row r="6" spans="1:10">
      <c r="A6" s="5" t="s">
        <v>141</v>
      </c>
      <c r="B6" s="5"/>
      <c r="C6" s="5"/>
      <c r="D6" s="5"/>
      <c r="E6" s="5"/>
      <c r="F6" s="5"/>
      <c r="G6" s="5"/>
      <c r="H6" s="5"/>
      <c r="I6" s="5"/>
      <c r="J6" s="5"/>
    </row>
    <row r="7" spans="1:10">
      <c r="A7" s="43" t="s">
        <v>15</v>
      </c>
      <c r="B7" s="24" t="s">
        <v>8</v>
      </c>
      <c r="F7" s="25">
        <f>'Income Statement'!F27</f>
        <v>83.50409850000003</v>
      </c>
      <c r="G7" s="25">
        <f>'Income Statement'!G27</f>
        <v>92.90098371039814</v>
      </c>
      <c r="H7" s="25">
        <f>'Income Statement'!H27</f>
        <v>103.41118199876286</v>
      </c>
      <c r="I7" s="25">
        <f>'Income Statement'!I27</f>
        <v>113.43296384130937</v>
      </c>
      <c r="J7" s="25">
        <f>'Income Statement'!J27</f>
        <v>121.9710936446005</v>
      </c>
    </row>
    <row r="8" spans="1:10">
      <c r="A8" s="43" t="s">
        <v>104</v>
      </c>
      <c r="B8" s="24" t="s">
        <v>8</v>
      </c>
      <c r="F8" s="25">
        <f>'Income Statement'!F20</f>
        <v>37.41</v>
      </c>
      <c r="G8" s="25">
        <f>'Income Statement'!G20</f>
        <v>40.203103825</v>
      </c>
      <c r="H8" s="25">
        <f>'Income Statement'!H20</f>
        <v>42.907656913424994</v>
      </c>
      <c r="I8" s="25">
        <f>'Income Statement'!I20</f>
        <v>45.35495058114336</v>
      </c>
      <c r="J8" s="25">
        <f>'Income Statement'!J20</f>
        <v>47.658910150281926</v>
      </c>
    </row>
    <row r="9" spans="1:10">
      <c r="A9" s="43" t="s">
        <v>142</v>
      </c>
      <c r="B9" s="24" t="s">
        <v>8</v>
      </c>
      <c r="F9" s="25">
        <f>-('Balance Sheet'!F8-'Balance Sheet'!E8)</f>
        <v>-8.714323287671235</v>
      </c>
      <c r="G9" s="25">
        <f>-('Balance Sheet'!G8-'Balance Sheet'!F8)</f>
        <v>-8.878527013698644</v>
      </c>
      <c r="H9" s="25">
        <f>-('Balance Sheet'!H8-'Balance Sheet'!G8)</f>
        <v>-8.863693187397246</v>
      </c>
      <c r="I9" s="25">
        <f>-('Balance Sheet'!I8-'Balance Sheet'!H8)</f>
        <v>-7.031781328500017</v>
      </c>
      <c r="J9" s="25">
        <f>-('Balance Sheet'!J8-'Balance Sheet'!I8)</f>
        <v>-6.341998471325809</v>
      </c>
    </row>
    <row r="10" spans="1:10">
      <c r="A10" s="43" t="s">
        <v>143</v>
      </c>
      <c r="B10" s="24" t="s">
        <v>8</v>
      </c>
      <c r="F10" s="25">
        <f>-('Balance Sheet'!F9-'Balance Sheet'!E9)</f>
        <v>-7.430356780821896</v>
      </c>
      <c r="G10" s="25">
        <f>-('Balance Sheet'!G9-'Balance Sheet'!F9)</f>
        <v>-6.0454956506849555</v>
      </c>
      <c r="H10" s="25">
        <f>-('Balance Sheet'!H9-'Balance Sheet'!G9)</f>
        <v>-7.277528024281082</v>
      </c>
      <c r="I10" s="25">
        <f>-('Balance Sheet'!I9-'Balance Sheet'!H9)</f>
        <v>-5.282766752552064</v>
      </c>
      <c r="J10" s="25">
        <f>-('Balance Sheet'!J9-'Balance Sheet'!I9)</f>
        <v>-6.911900478752472</v>
      </c>
    </row>
    <row r="11" spans="1:10">
      <c r="A11" s="43" t="s">
        <v>144</v>
      </c>
      <c r="B11" s="24" t="s">
        <v>8</v>
      </c>
      <c r="F11" s="25">
        <f>-('Balance Sheet'!F10-'Balance Sheet'!E10)</f>
        <v>-1.4972250000000003</v>
      </c>
      <c r="G11" s="25">
        <f>-('Balance Sheet'!G10-'Balance Sheet'!F10)</f>
        <v>-1.5580107500000047</v>
      </c>
      <c r="H11" s="25">
        <f>-('Balance Sheet'!H10-'Balance Sheet'!G10)</f>
        <v>-1.5554076987499954</v>
      </c>
      <c r="I11" s="25">
        <f>-('Balance Sheet'!I10-'Balance Sheet'!H10)</f>
        <v>-1.4877733271250015</v>
      </c>
      <c r="J11" s="25">
        <f>-('Balance Sheet'!J10-'Balance Sheet'!I10)</f>
        <v>-1.393528322329125</v>
      </c>
    </row>
    <row r="12" spans="1:10">
      <c r="A12" s="43" t="s">
        <v>145</v>
      </c>
      <c r="B12" s="24" t="s">
        <v>8</v>
      </c>
      <c r="F12" s="25">
        <f>+('Balance Sheet'!F17-'Balance Sheet'!E17)</f>
        <v>4.691428339726016</v>
      </c>
      <c r="G12" s="25">
        <f>+('Balance Sheet'!G17-'Balance Sheet'!F17)</f>
        <v>4.892908372602747</v>
      </c>
      <c r="H12" s="25">
        <f>+('Balance Sheet'!H17-'Balance Sheet'!G17)</f>
        <v>4.720558718452594</v>
      </c>
      <c r="I12" s="25">
        <f>+('Balance Sheet'!I17-'Balance Sheet'!H17)</f>
        <v>4.590105473332599</v>
      </c>
      <c r="J12" s="25">
        <f>+('Balance Sheet'!J17-'Balance Sheet'!I17)</f>
        <v>4.5448112737002475</v>
      </c>
    </row>
    <row r="13" spans="1:10">
      <c r="A13" s="43" t="s">
        <v>146</v>
      </c>
      <c r="B13" s="24" t="s">
        <v>8</v>
      </c>
      <c r="F13" s="25">
        <f>+('Balance Sheet'!F18-'Balance Sheet'!E18)</f>
        <v>3.3538950000000014</v>
      </c>
      <c r="G13" s="25">
        <f>+('Balance Sheet'!G18-'Balance Sheet'!F18)</f>
        <v>3.427623650000001</v>
      </c>
      <c r="H13" s="25">
        <f>+('Balance Sheet'!H18-'Balance Sheet'!G18)</f>
        <v>3.421896937249997</v>
      </c>
      <c r="I13" s="25">
        <f>+('Balance Sheet'!I18-'Balance Sheet'!H18)</f>
        <v>3.273101319675</v>
      </c>
      <c r="J13" s="25">
        <f>+('Balance Sheet'!J18-'Balance Sheet'!I18)</f>
        <v>3.065762309124082</v>
      </c>
    </row>
    <row r="14" spans="1:10">
      <c r="A14" s="30" t="s">
        <v>19</v>
      </c>
      <c r="B14" s="31" t="s">
        <v>8</v>
      </c>
      <c r="F14" s="56">
        <f>SUM(F7:F13)</f>
        <v>111.3175167712329</v>
      </c>
      <c r="G14" s="56">
        <f>SUM(G7:G13)</f>
        <v>124.94258614361729</v>
      </c>
      <c r="H14" s="56">
        <f>SUM(H7:H13)</f>
        <v>136.7646656574621</v>
      </c>
      <c r="I14" s="56">
        <f>SUM(I7:I13)</f>
        <v>152.84879980728323</v>
      </c>
      <c r="J14" s="56">
        <f>SUM(J7:J13)</f>
        <v>162.59315010529934</v>
      </c>
    </row>
    <row r="16" spans="1:10">
      <c r="A16" s="5" t="s">
        <v>147</v>
      </c>
      <c r="B16" s="5"/>
      <c r="C16" s="5"/>
      <c r="D16" s="5"/>
      <c r="E16" s="5"/>
      <c r="F16" s="5"/>
      <c r="G16" s="5"/>
      <c r="H16" s="5"/>
      <c r="I16" s="5"/>
      <c r="J16" s="5"/>
    </row>
    <row r="17" spans="1:10">
      <c r="A17" s="43" t="s">
        <v>20</v>
      </c>
      <c r="B17" s="24" t="s">
        <v>8</v>
      </c>
      <c r="F17" s="25">
        <f>-Schedules!F8</f>
        <v>-56.672785000000005</v>
      </c>
      <c r="G17" s="25">
        <f>-Schedules!G8</f>
        <v>-58.855194090000005</v>
      </c>
      <c r="H17" s="25">
        <f>-Schedules!H8</f>
        <v>-59.785544277</v>
      </c>
      <c r="I17" s="25">
        <f>-Schedules!I8</f>
        <v>-61.244326920030005</v>
      </c>
      <c r="J17" s="25">
        <f>-Schedules!J8</f>
        <v>-61.14227921604908</v>
      </c>
    </row>
    <row r="18" spans="1:10">
      <c r="A18" s="30" t="s">
        <v>148</v>
      </c>
      <c r="B18" s="31" t="s">
        <v>8</v>
      </c>
      <c r="F18" s="56">
        <f>F17</f>
        <v>-56.672785000000005</v>
      </c>
      <c r="G18" s="56">
        <f>G17</f>
        <v>-58.855194090000005</v>
      </c>
      <c r="H18" s="56">
        <f>H17</f>
        <v>-59.785544277</v>
      </c>
      <c r="I18" s="56">
        <f>I17</f>
        <v>-61.244326920030005</v>
      </c>
      <c r="J18" s="56">
        <f>J17</f>
        <v>-61.14227921604908</v>
      </c>
    </row>
    <row r="20" spans="1:10">
      <c r="A20" s="5" t="s">
        <v>149</v>
      </c>
      <c r="B20" s="5"/>
      <c r="C20" s="5"/>
      <c r="D20" s="5"/>
      <c r="E20" s="5"/>
      <c r="F20" s="5"/>
      <c r="G20" s="5"/>
      <c r="H20" s="5"/>
      <c r="I20" s="5"/>
      <c r="J20" s="5"/>
    </row>
    <row r="21" spans="1:10">
      <c r="A21" s="43" t="s">
        <v>88</v>
      </c>
      <c r="B21" s="24" t="s">
        <v>8</v>
      </c>
      <c r="F21" s="25">
        <f>-Schedules!F23</f>
        <v>-25.0</v>
      </c>
      <c r="G21" s="25">
        <f>-Schedules!G23</f>
        <v>-25.0</v>
      </c>
      <c r="H21" s="25">
        <f>-Schedules!H23</f>
        <v>-25.0</v>
      </c>
      <c r="I21" s="25">
        <f>-Schedules!I23</f>
        <v>-25.0</v>
      </c>
      <c r="J21" s="25">
        <f>-Schedules!J23</f>
        <v>-25.0</v>
      </c>
    </row>
    <row r="22" spans="1:10">
      <c r="A22" s="43" t="s">
        <v>150</v>
      </c>
      <c r="B22" s="24" t="s">
        <v>8</v>
      </c>
      <c r="F22" s="25">
        <f>Schedules!F40</f>
        <v>-0.0</v>
      </c>
      <c r="G22" s="25">
        <f>Schedules!G40</f>
        <v>3.589400838269242</v>
      </c>
      <c r="H22" s="25">
        <f>Schedules!H40</f>
        <v>4.044233219166742</v>
      </c>
      <c r="I22" s="25">
        <f>Schedules!I40</f>
        <v>-2.5745837348604397</v>
      </c>
      <c r="J22" s="25">
        <f>Schedules!J40</f>
        <v>-5.059050322575544</v>
      </c>
    </row>
    <row r="23" spans="1:10">
      <c r="A23" s="43" t="s">
        <v>151</v>
      </c>
      <c r="B23" s="24" t="s">
        <v>8</v>
      </c>
      <c r="F23" s="25">
        <f>Schedules!F61</f>
        <v>5.0</v>
      </c>
      <c r="G23" s="25">
        <f>Schedules!G61</f>
        <v>5.0</v>
      </c>
      <c r="H23" s="25">
        <f>Schedules!H61</f>
        <v>5.0</v>
      </c>
      <c r="I23" s="25">
        <f>Schedules!I61</f>
        <v>5.0</v>
      </c>
      <c r="J23" s="25">
        <f>Schedules!J61</f>
        <v>5.0</v>
      </c>
    </row>
    <row r="24" spans="1:10">
      <c r="A24" s="43" t="s">
        <v>152</v>
      </c>
      <c r="B24" s="24" t="s">
        <v>8</v>
      </c>
      <c r="F24" s="25">
        <f>-Schedules!F56</f>
        <v>-25.051229550000006</v>
      </c>
      <c r="G24" s="25">
        <f>-Schedules!G56</f>
        <v>-27.87029511311944</v>
      </c>
      <c r="H24" s="25">
        <f>-Schedules!H56</f>
        <v>-31.023354599628856</v>
      </c>
      <c r="I24" s="25">
        <f>-Schedules!I56</f>
        <v>-34.02988915239281</v>
      </c>
      <c r="J24" s="25">
        <f>-Schedules!J56</f>
        <v>-36.59132809338015</v>
      </c>
    </row>
    <row r="25" spans="1:10">
      <c r="A25" s="43" t="s">
        <v>91</v>
      </c>
      <c r="B25" s="24" t="s">
        <v>8</v>
      </c>
      <c r="F25" s="25">
        <f>-Schedules!F64</f>
        <v>-30.0</v>
      </c>
      <c r="G25" s="25">
        <f>-Schedules!G64</f>
        <v>-30.0</v>
      </c>
      <c r="H25" s="25">
        <f>-Schedules!H64</f>
        <v>-30.0</v>
      </c>
      <c r="I25" s="25">
        <f>-Schedules!I64</f>
        <v>-35.0</v>
      </c>
      <c r="J25" s="25">
        <f>-Schedules!J64</f>
        <v>-35.0</v>
      </c>
    </row>
    <row r="26" spans="1:10">
      <c r="A26" s="30" t="s">
        <v>153</v>
      </c>
      <c r="B26" s="31" t="s">
        <v>8</v>
      </c>
      <c r="F26" s="56">
        <f>SUM(F21:F25)</f>
        <v>-75.05122955</v>
      </c>
      <c r="G26" s="56">
        <f>SUM(G21:G25)</f>
        <v>-74.2808942748502</v>
      </c>
      <c r="H26" s="56">
        <f>SUM(H21:H25)</f>
        <v>-76.97912138046212</v>
      </c>
      <c r="I26" s="56">
        <f>SUM(I21:I25)</f>
        <v>-91.60447288725325</v>
      </c>
      <c r="J26" s="56">
        <f>SUM(J21:J25)</f>
        <v>-96.65037841595569</v>
      </c>
    </row>
    <row r="28" spans="1:10">
      <c r="A28" s="30" t="s">
        <v>154</v>
      </c>
      <c r="B28" s="31" t="s">
        <v>8</v>
      </c>
      <c r="F28" s="56">
        <f>F14+F18+F26</f>
        <v>-20.406497778767104</v>
      </c>
      <c r="G28" s="56">
        <f>G14+G18+G26</f>
        <v>-8.193502221232905</v>
      </c>
      <c r="H28" s="56">
        <f>H14+H18+H26</f>
        <v>-1.4210854715202004e-14</v>
      </c>
      <c r="I28" s="56">
        <f>I14+I18+I26</f>
        <v>-2.842170943040401e-14</v>
      </c>
      <c r="J28" s="56">
        <f>J14+J18+J26</f>
        <v>4.800492473294582</v>
      </c>
    </row>
    <row r="29" spans="1:10">
      <c r="A29" s="11" t="s">
        <v>155</v>
      </c>
      <c r="B29" s="24" t="s">
        <v>8</v>
      </c>
      <c r="F29" s="25">
        <f>'Balance Sheet'!E7</f>
        <v>88.6</v>
      </c>
      <c r="G29" s="25">
        <f>'Balance Sheet'!F7</f>
        <v>68.19350222123289</v>
      </c>
      <c r="H29" s="25">
        <f>'Balance Sheet'!G7</f>
        <v>60.0</v>
      </c>
      <c r="I29" s="25">
        <f>'Balance Sheet'!H7</f>
        <v>60.0</v>
      </c>
      <c r="J29" s="25">
        <f>'Balance Sheet'!I7</f>
        <v>60.0</v>
      </c>
    </row>
    <row r="30" spans="1:10">
      <c r="A30" s="57" t="s">
        <v>156</v>
      </c>
      <c r="B30" s="58" t="s">
        <v>8</v>
      </c>
      <c r="F30" s="59">
        <f>F29+F28</f>
        <v>68.19350222123289</v>
      </c>
      <c r="G30" s="59">
        <f>G29+G28</f>
        <v>59.999999999999986</v>
      </c>
      <c r="H30" s="59">
        <f>H29+H28</f>
        <v>59.999999999999986</v>
      </c>
      <c r="I30" s="59">
        <f>I29+I28</f>
        <v>59.99999999999997</v>
      </c>
      <c r="J30" s="59">
        <f>J29+J28</f>
        <v>64.80049247329458</v>
      </c>
    </row>
    <row r="32" spans="1:10">
      <c r="A32" s="30" t="s">
        <v>157</v>
      </c>
      <c r="B32" s="31" t="s">
        <v>8</v>
      </c>
      <c r="F32" s="56">
        <f>F14+F17</f>
        <v>54.6447317712329</v>
      </c>
      <c r="G32" s="56">
        <f>G14+G17</f>
        <v>66.0873920536173</v>
      </c>
      <c r="H32" s="56">
        <f>H14+H17</f>
        <v>76.9791213804621</v>
      </c>
      <c r="I32" s="56">
        <f>I14+I17</f>
        <v>91.60447288725322</v>
      </c>
      <c r="J32" s="56">
        <f>J14+J17</f>
        <v>101.45087088925027</v>
      </c>
    </row>
    <row r="33" spans="1:1">
      <c r="A33" s="4" t="s">
        <v>158</v>
      </c>
    </row>
  </sheetData>
  <mergeCells count="2">
    <mergeCell ref="C4:E4"/>
    <mergeCell ref="F4:J4"/>
  </mergeCells>
  <printOptions horizontalCentered="1"/>
  <pageMargins left="0.5" right="0.5" top="0.6" bottom="0.6" header="0.3" footer="0.3"/>
  <pageSetup paperSize="1" fitToHeight="0" orientation="landscape"/>
  <headerFooter>
    <oddFooter>&amp;L&amp;8Northwind Components Inc. (fictional company)&amp;C&amp;8&amp;A&amp;R&amp;8Page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4A7FB5"/>
    <pageSetUpPr fitToPage="1"/>
  </sheetPr>
  <dimension ref="A1:J72"/>
  <sheetViews>
    <sheetView showGridLines="0" zoomScale="90" zoomScaleNormal="90" workbookViewId="0">
      <pane xSplit="2" ySplit="5" topLeftCell="C6" activePane="bottomRight" state="frozen"/>
      <selection pane="topRight" activeCell="C1" sqref="C1"/>
      <selection pane="bottomLeft" activeCell="A6" sqref="A6"/>
      <selection pane="bottomRight"/>
    </sheetView>
  </sheetViews>
  <sheetFormatPr defaultRowHeight="15"/>
  <cols>
    <col min="1" max="1" width="44.7109375" customWidth="1"/>
    <col min="2" max="2" width="7.7109375" customWidth="1"/>
    <col min="3" max="10" width="11.7109375" customWidth="1"/>
  </cols>
  <sheetData>
    <row r="1" spans="1:10">
      <c r="A1" s="18" t="s">
        <v>159</v>
      </c>
    </row>
    <row r="2" spans="1:10">
      <c r="A2" s="4" t="s">
        <v>160</v>
      </c>
    </row>
    <row r="3" spans="1:10">
      <c r="A3" s="19" t="str">
        <f>"Scenario: "&amp;Scenario</f>
        <v>Scenario: Base</v>
      </c>
    </row>
    <row r="4" spans="1:10">
      <c r="C4" s="20" t="s">
        <v>2</v>
      </c>
      <c r="D4" s="20"/>
      <c r="E4" s="20"/>
      <c r="F4" s="20" t="s">
        <v>3</v>
      </c>
      <c r="G4" s="20"/>
      <c r="H4" s="20"/>
      <c r="I4" s="20"/>
      <c r="J4" s="20"/>
    </row>
    <row r="5" spans="1:10">
      <c r="A5" s="21" t="s">
        <v>4</v>
      </c>
      <c r="B5" s="22" t="s">
        <v>5</v>
      </c>
      <c r="C5" s="37">
        <f>Assumptions!C$5</f>
        <v>2023</v>
      </c>
      <c r="D5" s="37">
        <f>Assumptions!D$5</f>
        <v>2024</v>
      </c>
      <c r="E5" s="37">
        <f>Assumptions!E$5</f>
        <v>2025</v>
      </c>
      <c r="F5" s="38">
        <f>Assumptions!F$5</f>
        <v>2026</v>
      </c>
      <c r="G5" s="38">
        <f>Assumptions!G$5</f>
        <v>2027</v>
      </c>
      <c r="H5" s="38">
        <f>Assumptions!H$5</f>
        <v>2028</v>
      </c>
      <c r="I5" s="38">
        <f>Assumptions!I$5</f>
        <v>2029</v>
      </c>
      <c r="J5" s="38">
        <f>Assumptions!J$5</f>
        <v>2030</v>
      </c>
    </row>
    <row r="6" spans="1:10">
      <c r="A6" s="5" t="s">
        <v>161</v>
      </c>
      <c r="B6" s="5"/>
      <c r="C6" s="5"/>
      <c r="D6" s="5"/>
      <c r="E6" s="5"/>
      <c r="F6" s="5"/>
      <c r="G6" s="5"/>
      <c r="H6" s="5"/>
      <c r="I6" s="5"/>
      <c r="J6" s="5"/>
    </row>
    <row r="7" spans="1:10">
      <c r="A7" s="11" t="s">
        <v>162</v>
      </c>
      <c r="B7" s="24" t="s">
        <v>8</v>
      </c>
      <c r="D7" s="61">
        <f>C10</f>
        <v>226.0</v>
      </c>
      <c r="E7" s="61">
        <f>D10</f>
        <v>241.3</v>
      </c>
      <c r="F7" s="61">
        <f>E10</f>
        <v>258.0</v>
      </c>
      <c r="G7" s="61">
        <f>F10</f>
        <v>277.262785</v>
      </c>
      <c r="H7" s="61">
        <f>G10</f>
        <v>295.914875265</v>
      </c>
      <c r="I7" s="61">
        <f>H10</f>
        <v>312.79276262857496</v>
      </c>
      <c r="J7" s="61">
        <f>I10</f>
        <v>328.6821389674616</v>
      </c>
    </row>
    <row r="8" spans="1:10">
      <c r="A8" s="43" t="s">
        <v>163</v>
      </c>
      <c r="B8" s="24" t="s">
        <v>8</v>
      </c>
      <c r="D8" s="61">
        <f>D10-D7+D9</f>
        <v>48.10000000000001</v>
      </c>
      <c r="E8" s="61">
        <f>E10-E7+E9</f>
        <v>52.09999999999999</v>
      </c>
      <c r="F8" s="25">
        <f>Assumptions!F39*'Income Statement'!F10</f>
        <v>56.672785000000005</v>
      </c>
      <c r="G8" s="25">
        <f>Assumptions!G39*'Income Statement'!G10</f>
        <v>58.855194090000005</v>
      </c>
      <c r="H8" s="25">
        <f>Assumptions!H39*'Income Statement'!H10</f>
        <v>59.785544277</v>
      </c>
      <c r="I8" s="25">
        <f>Assumptions!I39*'Income Statement'!I10</f>
        <v>61.244326920030005</v>
      </c>
      <c r="J8" s="25">
        <f>Assumptions!J39*'Income Statement'!J10</f>
        <v>61.14227921604908</v>
      </c>
    </row>
    <row r="9" spans="1:10">
      <c r="A9" s="43" t="s">
        <v>164</v>
      </c>
      <c r="B9" s="24" t="s">
        <v>8</v>
      </c>
      <c r="C9" s="25">
        <f>'Income Statement'!C20</f>
        <v>30.5</v>
      </c>
      <c r="D9" s="25">
        <f>'Income Statement'!D20</f>
        <v>32.8</v>
      </c>
      <c r="E9" s="25">
        <f>'Income Statement'!E20</f>
        <v>35.4</v>
      </c>
      <c r="F9" s="25">
        <f>Assumptions!F57*F7</f>
        <v>37.41</v>
      </c>
      <c r="G9" s="25">
        <f>Assumptions!G57*G7</f>
        <v>40.203103825</v>
      </c>
      <c r="H9" s="25">
        <f>Assumptions!H57*H7</f>
        <v>42.907656913424994</v>
      </c>
      <c r="I9" s="25">
        <f>Assumptions!I57*I7</f>
        <v>45.35495058114336</v>
      </c>
      <c r="J9" s="25">
        <f>Assumptions!J57*J7</f>
        <v>47.658910150281926</v>
      </c>
    </row>
    <row r="10" spans="1:10">
      <c r="A10" s="30" t="s">
        <v>165</v>
      </c>
      <c r="B10" s="31" t="s">
        <v>8</v>
      </c>
      <c r="C10" s="32">
        <f>'Balance Sheet'!C12</f>
        <v>226.0</v>
      </c>
      <c r="D10" s="32">
        <f>'Balance Sheet'!D12</f>
        <v>241.3</v>
      </c>
      <c r="E10" s="32">
        <f>'Balance Sheet'!E12</f>
        <v>258.0</v>
      </c>
      <c r="F10" s="56">
        <f>F7+F8-F9</f>
        <v>277.262785</v>
      </c>
      <c r="G10" s="56">
        <f>G7+G8-G9</f>
        <v>295.914875265</v>
      </c>
      <c r="H10" s="56">
        <f>H7+H8-H9</f>
        <v>312.79276262857496</v>
      </c>
      <c r="I10" s="56">
        <f>I7+I8-I9</f>
        <v>328.6821389674616</v>
      </c>
      <c r="J10" s="56">
        <f>J7+J8-J9</f>
        <v>342.1655080332287</v>
      </c>
    </row>
    <row r="12" spans="1:10">
      <c r="A12" s="5" t="s">
        <v>166</v>
      </c>
      <c r="B12" s="5"/>
      <c r="C12" s="5"/>
      <c r="D12" s="5"/>
      <c r="E12" s="5"/>
      <c r="F12" s="5"/>
      <c r="G12" s="5"/>
      <c r="H12" s="5"/>
      <c r="I12" s="5"/>
      <c r="J12" s="5"/>
    </row>
    <row r="13" spans="1:10">
      <c r="A13" s="43" t="s">
        <v>118</v>
      </c>
      <c r="B13" s="24" t="s">
        <v>8</v>
      </c>
      <c r="C13" s="25">
        <f>'Balance Sheet'!C8</f>
        <v>95.4</v>
      </c>
      <c r="D13" s="25">
        <f>'Balance Sheet'!D8</f>
        <v>106.0</v>
      </c>
      <c r="E13" s="25">
        <f>'Balance Sheet'!E8</f>
        <v>115.5</v>
      </c>
      <c r="F13" s="25">
        <f>Assumptions!F43/Days_In_Year*'Income Statement'!F10</f>
        <v>124.21432328767123</v>
      </c>
      <c r="G13" s="25">
        <f>Assumptions!G43/Days_In_Year*'Income Statement'!G10</f>
        <v>133.09285030136988</v>
      </c>
      <c r="H13" s="25">
        <f>Assumptions!H43/Days_In_Year*'Income Statement'!H10</f>
        <v>141.95654348876712</v>
      </c>
      <c r="I13" s="25">
        <f>Assumptions!I43/Days_In_Year*'Income Statement'!I10</f>
        <v>148.98832481726714</v>
      </c>
      <c r="J13" s="25">
        <f>Assumptions!J43/Days_In_Year*'Income Statement'!J10</f>
        <v>155.33032328859295</v>
      </c>
    </row>
    <row r="14" spans="1:10">
      <c r="A14" s="43" t="s">
        <v>119</v>
      </c>
      <c r="B14" s="24" t="s">
        <v>8</v>
      </c>
      <c r="C14" s="25">
        <f>'Balance Sheet'!C9</f>
        <v>92.2</v>
      </c>
      <c r="D14" s="25">
        <f>'Balance Sheet'!D9</f>
        <v>98.3</v>
      </c>
      <c r="E14" s="25">
        <f>'Balance Sheet'!E9</f>
        <v>104.9</v>
      </c>
      <c r="F14" s="25">
        <f>Assumptions!F47/Days_In_Year*'Income Statement'!F13</f>
        <v>112.3303567808219</v>
      </c>
      <c r="G14" s="25">
        <f>Assumptions!G47/Days_In_Year*'Income Statement'!G13</f>
        <v>118.37585243150686</v>
      </c>
      <c r="H14" s="25">
        <f>Assumptions!H47/Days_In_Year*'Income Statement'!H13</f>
        <v>125.65338045578794</v>
      </c>
      <c r="I14" s="25">
        <f>Assumptions!I47/Days_In_Year*'Income Statement'!I13</f>
        <v>130.93614720834</v>
      </c>
      <c r="J14" s="25">
        <f>Assumptions!J47/Days_In_Year*'Income Statement'!J13</f>
        <v>137.84804768709247</v>
      </c>
    </row>
    <row r="15" spans="1:10">
      <c r="A15" s="43" t="s">
        <v>120</v>
      </c>
      <c r="B15" s="24" t="s">
        <v>8</v>
      </c>
      <c r="C15" s="25">
        <f>'Balance Sheet'!C10</f>
        <v>17.1</v>
      </c>
      <c r="D15" s="25">
        <f>'Balance Sheet'!D10</f>
        <v>18.6</v>
      </c>
      <c r="E15" s="25">
        <f>'Balance Sheet'!E10</f>
        <v>20.3</v>
      </c>
      <c r="F15" s="25">
        <f>Assumptions!F54*'Income Statement'!F10</f>
        <v>21.797225</v>
      </c>
      <c r="G15" s="25">
        <f>Assumptions!G54*'Income Statement'!G10</f>
        <v>23.355235750000006</v>
      </c>
      <c r="H15" s="25">
        <f>Assumptions!H54*'Income Statement'!H10</f>
        <v>24.91064344875</v>
      </c>
      <c r="I15" s="25">
        <f>Assumptions!I54*'Income Statement'!I10</f>
        <v>26.398416775875003</v>
      </c>
      <c r="J15" s="25">
        <f>Assumptions!J54*'Income Statement'!J10</f>
        <v>27.791945098204128</v>
      </c>
    </row>
    <row r="16" spans="1:10">
      <c r="A16" s="43" t="s">
        <v>126</v>
      </c>
      <c r="B16" s="24" t="s">
        <v>8</v>
      </c>
      <c r="C16" s="25">
        <f>'Balance Sheet'!C17</f>
        <v>56.3</v>
      </c>
      <c r="D16" s="25">
        <f>'Balance Sheet'!D17</f>
        <v>62.1</v>
      </c>
      <c r="E16" s="25">
        <f>'Balance Sheet'!E17</f>
        <v>67.2</v>
      </c>
      <c r="F16" s="25">
        <f>Assumptions!F56/Days_In_Year*'Income Statement'!F13</f>
        <v>71.89142833972602</v>
      </c>
      <c r="G16" s="25">
        <f>Assumptions!G56/Days_In_Year*'Income Statement'!G13</f>
        <v>76.78433671232877</v>
      </c>
      <c r="H16" s="25">
        <f>Assumptions!H56/Days_In_Year*'Income Statement'!H13</f>
        <v>81.50489543078136</v>
      </c>
      <c r="I16" s="25">
        <f>Assumptions!I56/Days_In_Year*'Income Statement'!I13</f>
        <v>86.09500090411396</v>
      </c>
      <c r="J16" s="25">
        <f>Assumptions!J56/Days_In_Year*'Income Statement'!J13</f>
        <v>90.6398121778142</v>
      </c>
    </row>
    <row r="17" spans="1:10">
      <c r="A17" s="43" t="s">
        <v>127</v>
      </c>
      <c r="B17" s="24" t="s">
        <v>8</v>
      </c>
      <c r="C17" s="25">
        <f>'Balance Sheet'!C18</f>
        <v>37.6</v>
      </c>
      <c r="D17" s="25">
        <f>'Balance Sheet'!D18</f>
        <v>40.9</v>
      </c>
      <c r="E17" s="25">
        <f>'Balance Sheet'!E18</f>
        <v>44.6</v>
      </c>
      <c r="F17" s="25">
        <f>Assumptions!F55*'Income Statement'!F10</f>
        <v>47.953895</v>
      </c>
      <c r="G17" s="25">
        <f>Assumptions!G55*'Income Statement'!G10</f>
        <v>51.381518650000004</v>
      </c>
      <c r="H17" s="25">
        <f>Assumptions!H55*'Income Statement'!H10</f>
        <v>54.80341558725</v>
      </c>
      <c r="I17" s="25">
        <f>Assumptions!I55*'Income Statement'!I10</f>
        <v>58.076516906925</v>
      </c>
      <c r="J17" s="25">
        <f>Assumptions!J55*'Income Statement'!J10</f>
        <v>61.14227921604908</v>
      </c>
    </row>
    <row r="18" spans="1:10">
      <c r="A18" s="30" t="s">
        <v>167</v>
      </c>
      <c r="B18" s="31" t="s">
        <v>8</v>
      </c>
      <c r="C18" s="56">
        <f>C13+C14+C15-C16-C17</f>
        <v>110.80000000000004</v>
      </c>
      <c r="D18" s="56">
        <f>D13+D14+D15-D16-D17</f>
        <v>119.9</v>
      </c>
      <c r="E18" s="56">
        <f>E13+E14+E15-E16-E17</f>
        <v>128.9</v>
      </c>
      <c r="F18" s="56">
        <f>F13+F14+F15-F16-F17</f>
        <v>138.49658172876713</v>
      </c>
      <c r="G18" s="56">
        <f>G13+G14+G15-G16-G17</f>
        <v>146.658083120548</v>
      </c>
      <c r="H18" s="56">
        <f>H13+H14+H15-H16-H17</f>
        <v>156.21225637527374</v>
      </c>
      <c r="I18" s="56">
        <f>I13+I14+I15-I16-I17</f>
        <v>162.15137099044316</v>
      </c>
      <c r="J18" s="56">
        <f>J13+J14+J15-J16-J17</f>
        <v>169.18822468002625</v>
      </c>
    </row>
    <row r="19" spans="1:10">
      <c r="A19" s="43" t="s">
        <v>168</v>
      </c>
      <c r="B19" s="24" t="s">
        <v>8</v>
      </c>
      <c r="D19" s="61">
        <f>D18-C18</f>
        <v>9.099999999999966</v>
      </c>
      <c r="E19" s="61">
        <f>E18-D18</f>
        <v>9.0</v>
      </c>
      <c r="F19" s="61">
        <f>F18-E18</f>
        <v>9.59658172876712</v>
      </c>
      <c r="G19" s="61">
        <f>G18-F18</f>
        <v>8.161501391780888</v>
      </c>
      <c r="H19" s="61">
        <f>H18-G18</f>
        <v>9.554173254725725</v>
      </c>
      <c r="I19" s="61">
        <f>I18-H18</f>
        <v>5.939114615169416</v>
      </c>
      <c r="J19" s="61">
        <f>J18-I18</f>
        <v>7.036853689583097</v>
      </c>
    </row>
    <row r="21" spans="1:10">
      <c r="A21" s="5" t="s">
        <v>129</v>
      </c>
      <c r="B21" s="5"/>
      <c r="C21" s="5"/>
      <c r="D21" s="5"/>
      <c r="E21" s="5"/>
      <c r="F21" s="5"/>
      <c r="G21" s="5"/>
      <c r="H21" s="5"/>
      <c r="I21" s="5"/>
      <c r="J21" s="5"/>
    </row>
    <row r="22" spans="1:10">
      <c r="A22" s="11" t="s">
        <v>169</v>
      </c>
      <c r="B22" s="24" t="s">
        <v>8</v>
      </c>
      <c r="D22" s="61">
        <f>C24</f>
        <v>210.0</v>
      </c>
      <c r="E22" s="61">
        <f>D24</f>
        <v>195.0</v>
      </c>
      <c r="F22" s="61">
        <f>E24</f>
        <v>180.0</v>
      </c>
      <c r="G22" s="61">
        <f>F24</f>
        <v>155.0</v>
      </c>
      <c r="H22" s="61">
        <f>G24</f>
        <v>130.0</v>
      </c>
      <c r="I22" s="61">
        <f>H24</f>
        <v>105.0</v>
      </c>
      <c r="J22" s="61">
        <f>I24</f>
        <v>80.0</v>
      </c>
    </row>
    <row r="23" spans="1:10">
      <c r="A23" s="43" t="s">
        <v>170</v>
      </c>
      <c r="B23" s="24" t="s">
        <v>8</v>
      </c>
      <c r="D23" s="61">
        <f>D22-D24</f>
        <v>15.0</v>
      </c>
      <c r="E23" s="61">
        <f>E22-E24</f>
        <v>15.0</v>
      </c>
      <c r="F23" s="25">
        <f>MIN(F22,Assumptions!F64)</f>
        <v>25.0</v>
      </c>
      <c r="G23" s="25">
        <f>MIN(G22,Assumptions!G64)</f>
        <v>25.0</v>
      </c>
      <c r="H23" s="25">
        <f>MIN(H22,Assumptions!H64)</f>
        <v>25.0</v>
      </c>
      <c r="I23" s="25">
        <f>MIN(I22,Assumptions!I64)</f>
        <v>25.0</v>
      </c>
      <c r="J23" s="25">
        <f>MIN(J22,Assumptions!J64)</f>
        <v>25.0</v>
      </c>
    </row>
    <row r="24" spans="1:10">
      <c r="A24" s="30" t="s">
        <v>171</v>
      </c>
      <c r="B24" s="31" t="s">
        <v>8</v>
      </c>
      <c r="C24" s="32">
        <f>'Balance Sheet'!C20</f>
        <v>210.0</v>
      </c>
      <c r="D24" s="32">
        <f>'Balance Sheet'!D20</f>
        <v>195.0</v>
      </c>
      <c r="E24" s="32">
        <f>'Balance Sheet'!E20</f>
        <v>180.0</v>
      </c>
      <c r="F24" s="56">
        <f>F22-F23</f>
        <v>155.0</v>
      </c>
      <c r="G24" s="56">
        <f>G22-G23</f>
        <v>130.0</v>
      </c>
      <c r="H24" s="56">
        <f>H22-H23</f>
        <v>105.0</v>
      </c>
      <c r="I24" s="56">
        <f>I22-I23</f>
        <v>80.0</v>
      </c>
      <c r="J24" s="56">
        <f>J22-J23</f>
        <v>55.0</v>
      </c>
    </row>
    <row r="26" spans="1:10">
      <c r="A26" s="5" t="s">
        <v>172</v>
      </c>
      <c r="B26" s="5"/>
      <c r="C26" s="5"/>
      <c r="D26" s="5"/>
      <c r="E26" s="5"/>
      <c r="F26" s="5"/>
      <c r="G26" s="5"/>
      <c r="H26" s="5"/>
      <c r="I26" s="5"/>
      <c r="J26" s="5"/>
    </row>
    <row r="27" spans="1:10">
      <c r="A27" s="43" t="s">
        <v>173</v>
      </c>
      <c r="B27" s="24" t="s">
        <v>8</v>
      </c>
      <c r="F27" s="25">
        <f>'Balance Sheet'!E7</f>
        <v>88.6</v>
      </c>
      <c r="G27" s="25">
        <f>'Balance Sheet'!F7</f>
        <v>68.19350222123289</v>
      </c>
      <c r="H27" s="25">
        <f>'Balance Sheet'!G7</f>
        <v>60.0</v>
      </c>
      <c r="I27" s="25">
        <f>'Balance Sheet'!H7</f>
        <v>60.0</v>
      </c>
      <c r="J27" s="25">
        <f>'Balance Sheet'!I7</f>
        <v>60.0</v>
      </c>
    </row>
    <row r="28" spans="1:10">
      <c r="A28" s="43" t="s">
        <v>174</v>
      </c>
      <c r="B28" s="24" t="s">
        <v>8</v>
      </c>
      <c r="F28" s="25">
        <f>'Cash Flow'!F14</f>
        <v>111.3175167712329</v>
      </c>
      <c r="G28" s="25">
        <f>'Cash Flow'!G14</f>
        <v>124.94258614361729</v>
      </c>
      <c r="H28" s="25">
        <f>'Cash Flow'!H14</f>
        <v>136.7646656574621</v>
      </c>
      <c r="I28" s="25">
        <f>'Cash Flow'!I14</f>
        <v>152.84879980728323</v>
      </c>
      <c r="J28" s="25">
        <f>'Cash Flow'!J14</f>
        <v>162.59315010529934</v>
      </c>
    </row>
    <row r="29" spans="1:10">
      <c r="A29" s="43" t="s">
        <v>175</v>
      </c>
      <c r="B29" s="24" t="s">
        <v>8</v>
      </c>
      <c r="F29" s="25">
        <f>'Cash Flow'!F18</f>
        <v>-56.672785000000005</v>
      </c>
      <c r="G29" s="25">
        <f>'Cash Flow'!G18</f>
        <v>-58.855194090000005</v>
      </c>
      <c r="H29" s="25">
        <f>'Cash Flow'!H18</f>
        <v>-59.785544277</v>
      </c>
      <c r="I29" s="25">
        <f>'Cash Flow'!I18</f>
        <v>-61.244326920030005</v>
      </c>
      <c r="J29" s="25">
        <f>'Cash Flow'!J18</f>
        <v>-61.14227921604908</v>
      </c>
    </row>
    <row r="30" spans="1:10">
      <c r="A30" s="43" t="s">
        <v>176</v>
      </c>
      <c r="B30" s="24" t="s">
        <v>8</v>
      </c>
      <c r="F30" s="61">
        <f>-F23</f>
        <v>-25.0</v>
      </c>
      <c r="G30" s="61">
        <f>-G23</f>
        <v>-25.0</v>
      </c>
      <c r="H30" s="61">
        <f>-H23</f>
        <v>-25.0</v>
      </c>
      <c r="I30" s="61">
        <f>-I23</f>
        <v>-25.0</v>
      </c>
      <c r="J30" s="61">
        <f>-J23</f>
        <v>-25.0</v>
      </c>
    </row>
    <row r="31" spans="1:10">
      <c r="A31" s="43" t="s">
        <v>177</v>
      </c>
      <c r="B31" s="24" t="s">
        <v>8</v>
      </c>
      <c r="F31" s="61">
        <f>F61</f>
        <v>5.0</v>
      </c>
      <c r="G31" s="61">
        <f>G61</f>
        <v>5.0</v>
      </c>
      <c r="H31" s="61">
        <f>H61</f>
        <v>5.0</v>
      </c>
      <c r="I31" s="61">
        <f>I61</f>
        <v>5.0</v>
      </c>
      <c r="J31" s="61">
        <f>J61</f>
        <v>5.0</v>
      </c>
    </row>
    <row r="32" spans="1:10">
      <c r="A32" s="43" t="s">
        <v>178</v>
      </c>
      <c r="B32" s="24" t="s">
        <v>8</v>
      </c>
      <c r="F32" s="61">
        <f>-F56</f>
        <v>-25.051229550000006</v>
      </c>
      <c r="G32" s="61">
        <f>-G56</f>
        <v>-27.87029511311944</v>
      </c>
      <c r="H32" s="61">
        <f>-H56</f>
        <v>-31.023354599628856</v>
      </c>
      <c r="I32" s="61">
        <f>-I56</f>
        <v>-34.02988915239281</v>
      </c>
      <c r="J32" s="61">
        <f>-J56</f>
        <v>-36.59132809338015</v>
      </c>
    </row>
    <row r="33" spans="1:10">
      <c r="A33" s="43" t="s">
        <v>179</v>
      </c>
      <c r="B33" s="24" t="s">
        <v>8</v>
      </c>
      <c r="F33" s="61">
        <f>-F64</f>
        <v>-30.0</v>
      </c>
      <c r="G33" s="61">
        <f>-G64</f>
        <v>-30.0</v>
      </c>
      <c r="H33" s="61">
        <f>-H64</f>
        <v>-30.0</v>
      </c>
      <c r="I33" s="61">
        <f>-I64</f>
        <v>-35.0</v>
      </c>
      <c r="J33" s="61">
        <f>-J64</f>
        <v>-35.0</v>
      </c>
    </row>
    <row r="34" spans="1:10">
      <c r="A34" s="30" t="s">
        <v>180</v>
      </c>
      <c r="B34" s="31" t="s">
        <v>8</v>
      </c>
      <c r="F34" s="56">
        <f>SUM(F27:F33)</f>
        <v>68.19350222123289</v>
      </c>
      <c r="G34" s="56">
        <f>SUM(G27:G33)</f>
        <v>56.41059916173076</v>
      </c>
      <c r="H34" s="56">
        <f>SUM(H27:H33)</f>
        <v>55.95576678083326</v>
      </c>
      <c r="I34" s="56">
        <f>SUM(I27:I33)</f>
        <v>62.57458373486044</v>
      </c>
      <c r="J34" s="56">
        <f>SUM(J27:J33)</f>
        <v>69.85954279587014</v>
      </c>
    </row>
    <row r="35" spans="1:10">
      <c r="A35" s="43" t="s">
        <v>54</v>
      </c>
      <c r="B35" s="24" t="s">
        <v>8</v>
      </c>
      <c r="F35" s="25">
        <f>Min_Cash</f>
        <v>60.0</v>
      </c>
      <c r="G35" s="25">
        <f>Min_Cash</f>
        <v>60.0</v>
      </c>
      <c r="H35" s="25">
        <f>Min_Cash</f>
        <v>60.0</v>
      </c>
      <c r="I35" s="25">
        <f>Min_Cash</f>
        <v>60.0</v>
      </c>
      <c r="J35" s="25">
        <f>Min_Cash</f>
        <v>60.0</v>
      </c>
    </row>
    <row r="36" spans="1:10">
      <c r="A36" s="43" t="s">
        <v>181</v>
      </c>
      <c r="B36" s="24" t="s">
        <v>8</v>
      </c>
      <c r="F36" s="61">
        <f>F34-F35</f>
        <v>8.19350222123289</v>
      </c>
      <c r="G36" s="61">
        <f>G34-G35</f>
        <v>-3.589400838269242</v>
      </c>
      <c r="H36" s="61">
        <f>H34-H35</f>
        <v>-4.044233219166742</v>
      </c>
      <c r="I36" s="61">
        <f>I34-I35</f>
        <v>2.5745837348604397</v>
      </c>
      <c r="J36" s="61">
        <f>J34-J35</f>
        <v>9.85954279587014</v>
      </c>
    </row>
    <row r="38" spans="1:10">
      <c r="A38" s="5" t="s">
        <v>128</v>
      </c>
      <c r="B38" s="5"/>
      <c r="C38" s="5"/>
      <c r="D38" s="5"/>
      <c r="E38" s="5"/>
      <c r="F38" s="5"/>
      <c r="G38" s="5"/>
      <c r="H38" s="5"/>
      <c r="I38" s="5"/>
      <c r="J38" s="5"/>
    </row>
    <row r="39" spans="1:10">
      <c r="A39" s="11" t="s">
        <v>169</v>
      </c>
      <c r="B39" s="24" t="s">
        <v>8</v>
      </c>
      <c r="D39" s="61">
        <f>C41</f>
        <v>15.0</v>
      </c>
      <c r="E39" s="61">
        <f>D41</f>
        <v>0.0</v>
      </c>
      <c r="F39" s="61">
        <f>E41</f>
        <v>0.0</v>
      </c>
      <c r="G39" s="61">
        <f>F41</f>
        <v>0.0</v>
      </c>
      <c r="H39" s="61">
        <f>G41</f>
        <v>3.589400838269242</v>
      </c>
      <c r="I39" s="61">
        <f>H41</f>
        <v>7.633634057435984</v>
      </c>
      <c r="J39" s="61">
        <f>I41</f>
        <v>5.059050322575544</v>
      </c>
    </row>
    <row r="40" spans="1:10">
      <c r="A40" s="43" t="s">
        <v>182</v>
      </c>
      <c r="B40" s="24" t="s">
        <v>8</v>
      </c>
      <c r="D40" s="61">
        <f>D41-D39</f>
        <v>-15.0</v>
      </c>
      <c r="E40" s="61">
        <f>E41-E39</f>
        <v>0.0</v>
      </c>
      <c r="F40" s="25">
        <f>MAX(-F39,MIN(F35-F34,Revolver_Limit-F39))</f>
        <v>-0.0</v>
      </c>
      <c r="G40" s="25">
        <f>MAX(-G39,MIN(G35-G34,Revolver_Limit-G39))</f>
        <v>3.589400838269242</v>
      </c>
      <c r="H40" s="25">
        <f>MAX(-H39,MIN(H35-H34,Revolver_Limit-H39))</f>
        <v>4.044233219166742</v>
      </c>
      <c r="I40" s="25">
        <f>MAX(-I39,MIN(I35-I34,Revolver_Limit-I39))</f>
        <v>-2.5745837348604397</v>
      </c>
      <c r="J40" s="25">
        <f>MAX(-J39,MIN(J35-J34,Revolver_Limit-J39))</f>
        <v>-5.059050322575544</v>
      </c>
    </row>
    <row r="41" spans="1:10">
      <c r="A41" s="30" t="s">
        <v>171</v>
      </c>
      <c r="B41" s="31" t="s">
        <v>8</v>
      </c>
      <c r="C41" s="32">
        <f>'Balance Sheet'!C19</f>
        <v>15.0</v>
      </c>
      <c r="D41" s="32">
        <f>'Balance Sheet'!D19</f>
        <v>0.0</v>
      </c>
      <c r="E41" s="32">
        <f>'Balance Sheet'!E19</f>
        <v>0.0</v>
      </c>
      <c r="F41" s="56">
        <f>F39+F40</f>
        <v>0.0</v>
      </c>
      <c r="G41" s="56">
        <f>G39+G40</f>
        <v>3.589400838269242</v>
      </c>
      <c r="H41" s="56">
        <f>H39+H40</f>
        <v>7.633634057435984</v>
      </c>
      <c r="I41" s="56">
        <f>I39+I40</f>
        <v>5.059050322575544</v>
      </c>
      <c r="J41" s="56">
        <f>J39+J40</f>
        <v>0.0</v>
      </c>
    </row>
    <row r="42" spans="1:10">
      <c r="A42" s="30" t="s">
        <v>183</v>
      </c>
      <c r="B42" s="31" t="s">
        <v>8</v>
      </c>
      <c r="F42" s="56">
        <f>F34+F40</f>
        <v>68.19350222123289</v>
      </c>
      <c r="G42" s="56">
        <f>G34+G40</f>
        <v>60.0</v>
      </c>
      <c r="H42" s="56">
        <f>H34+H40</f>
        <v>60.0</v>
      </c>
      <c r="I42" s="56">
        <f>I34+I40</f>
        <v>60.0</v>
      </c>
      <c r="J42" s="56">
        <f>J34+J40</f>
        <v>64.8004924732946</v>
      </c>
    </row>
    <row r="44" spans="1:10">
      <c r="A44" s="11" t="s">
        <v>26</v>
      </c>
      <c r="B44" s="24" t="s">
        <v>8</v>
      </c>
      <c r="C44" s="61">
        <f>C24+C41</f>
        <v>225.0</v>
      </c>
      <c r="D44" s="61">
        <f>D24+D41</f>
        <v>195.0</v>
      </c>
      <c r="E44" s="61">
        <f>E24+E41</f>
        <v>180.0</v>
      </c>
      <c r="F44" s="61">
        <f>F24+F41</f>
        <v>155.0</v>
      </c>
      <c r="G44" s="61">
        <f>G24+G41</f>
        <v>133.58940083826923</v>
      </c>
      <c r="H44" s="61">
        <f>H24+H41</f>
        <v>112.63363405743598</v>
      </c>
      <c r="I44" s="61">
        <f>I24+I41</f>
        <v>85.05905032257554</v>
      </c>
      <c r="J44" s="61">
        <f>J24+J41</f>
        <v>55.0</v>
      </c>
    </row>
    <row r="45" spans="1:10">
      <c r="A45" s="11" t="s">
        <v>27</v>
      </c>
      <c r="B45" s="24" t="s">
        <v>8</v>
      </c>
      <c r="C45" s="25">
        <f>C44-'Balance Sheet'!C7</f>
        <v>106.8</v>
      </c>
      <c r="D45" s="25">
        <f>D44-'Balance Sheet'!D7</f>
        <v>102.4</v>
      </c>
      <c r="E45" s="25">
        <f>E44-'Balance Sheet'!E7</f>
        <v>91.4</v>
      </c>
      <c r="F45" s="25">
        <f>F44-'Balance Sheet'!F7</f>
        <v>86.80649777876711</v>
      </c>
      <c r="G45" s="25">
        <f>G44-'Balance Sheet'!G7</f>
        <v>73.58940083826923</v>
      </c>
      <c r="H45" s="25">
        <f>H44-'Balance Sheet'!H7</f>
        <v>52.633634057435984</v>
      </c>
      <c r="I45" s="25">
        <f>I44-'Balance Sheet'!I7</f>
        <v>25.059050322575544</v>
      </c>
      <c r="J45" s="25">
        <f>J44-'Balance Sheet'!J7</f>
        <v>-9.800492473294597</v>
      </c>
    </row>
    <row r="47" spans="1:10">
      <c r="A47" s="5" t="s">
        <v>184</v>
      </c>
      <c r="B47" s="5"/>
      <c r="C47" s="5"/>
      <c r="D47" s="5"/>
      <c r="E47" s="5"/>
      <c r="F47" s="5"/>
      <c r="G47" s="5"/>
      <c r="H47" s="5"/>
      <c r="I47" s="5"/>
      <c r="J47" s="5"/>
    </row>
    <row r="48" spans="1:10">
      <c r="A48" s="43" t="s">
        <v>185</v>
      </c>
      <c r="B48" s="24" t="s">
        <v>8</v>
      </c>
      <c r="F48" s="25">
        <f>Assumptions!F61*F22</f>
        <v>12.15</v>
      </c>
      <c r="G48" s="25">
        <f>Assumptions!G61*G22</f>
        <v>10.4625</v>
      </c>
      <c r="H48" s="25">
        <f>Assumptions!H61*H22</f>
        <v>8.775</v>
      </c>
      <c r="I48" s="25">
        <f>Assumptions!I61*I22</f>
        <v>7.0875</v>
      </c>
      <c r="J48" s="25">
        <f>Assumptions!J61*J22</f>
        <v>5.4</v>
      </c>
    </row>
    <row r="49" spans="1:10">
      <c r="A49" s="43" t="s">
        <v>186</v>
      </c>
      <c r="B49" s="24" t="s">
        <v>8</v>
      </c>
      <c r="F49" s="25">
        <f>Assumptions!F62*F39</f>
        <v>0.0</v>
      </c>
      <c r="G49" s="25">
        <f>Assumptions!G62*G39</f>
        <v>0.0</v>
      </c>
      <c r="H49" s="25">
        <f>Assumptions!H62*H39</f>
        <v>0.26023156077452003</v>
      </c>
      <c r="I49" s="25">
        <f>Assumptions!I62*I39</f>
        <v>0.5534384691641088</v>
      </c>
      <c r="J49" s="25">
        <f>Assumptions!J62*J39</f>
        <v>0.36678114838672693</v>
      </c>
    </row>
    <row r="50" spans="1:10">
      <c r="A50" s="30" t="s">
        <v>187</v>
      </c>
      <c r="B50" s="31" t="s">
        <v>8</v>
      </c>
      <c r="F50" s="56">
        <f>F48+F49</f>
        <v>12.15</v>
      </c>
      <c r="G50" s="56">
        <f>G48+G49</f>
        <v>10.4625</v>
      </c>
      <c r="H50" s="56">
        <f>H48+H49</f>
        <v>9.03523156077452</v>
      </c>
      <c r="I50" s="56">
        <f>I48+I49</f>
        <v>7.640938469164109</v>
      </c>
      <c r="J50" s="56">
        <f>J48+J49</f>
        <v>5.766781148386727</v>
      </c>
    </row>
    <row r="51" spans="1:10">
      <c r="A51" s="11" t="s">
        <v>188</v>
      </c>
      <c r="B51" s="24" t="s">
        <v>8</v>
      </c>
      <c r="F51" s="25">
        <f>Assumptions!F63*F27</f>
        <v>2.215</v>
      </c>
      <c r="G51" s="25">
        <f>Assumptions!G63*G27</f>
        <v>1.7048375555308224</v>
      </c>
      <c r="H51" s="25">
        <f>Assumptions!H63*H27</f>
        <v>1.5</v>
      </c>
      <c r="I51" s="25">
        <f>Assumptions!I63*I27</f>
        <v>1.5</v>
      </c>
      <c r="J51" s="25">
        <f>Assumptions!J63*J27</f>
        <v>1.5</v>
      </c>
    </row>
    <row r="53" spans="1:10">
      <c r="A53" s="5" t="s">
        <v>134</v>
      </c>
      <c r="B53" s="5"/>
      <c r="C53" s="5"/>
      <c r="D53" s="5"/>
      <c r="E53" s="5"/>
      <c r="F53" s="5"/>
      <c r="G53" s="5"/>
      <c r="H53" s="5"/>
      <c r="I53" s="5"/>
      <c r="J53" s="5"/>
    </row>
    <row r="54" spans="1:10">
      <c r="A54" s="11" t="s">
        <v>169</v>
      </c>
      <c r="B54" s="24" t="s">
        <v>8</v>
      </c>
      <c r="D54" s="61">
        <f>C57</f>
        <v>240.0</v>
      </c>
      <c r="E54" s="61">
        <f>D57</f>
        <v>283.8</v>
      </c>
      <c r="F54" s="61">
        <f>E57</f>
        <v>335.5</v>
      </c>
      <c r="G54" s="61">
        <f>F57</f>
        <v>393.95286895000004</v>
      </c>
      <c r="H54" s="61">
        <f>G57</f>
        <v>458.98355754727874</v>
      </c>
      <c r="I54" s="61">
        <f>H57</f>
        <v>531.3713849464127</v>
      </c>
      <c r="J54" s="61">
        <f>I57</f>
        <v>610.7744596353293</v>
      </c>
    </row>
    <row r="55" spans="1:10">
      <c r="A55" s="43" t="s">
        <v>189</v>
      </c>
      <c r="B55" s="24" t="s">
        <v>8</v>
      </c>
      <c r="D55" s="25">
        <f>'Income Statement'!D27</f>
        <v>62.59999999999993</v>
      </c>
      <c r="E55" s="25">
        <f>'Income Statement'!E27</f>
        <v>73.90000000000003</v>
      </c>
      <c r="F55" s="25">
        <f>'Income Statement'!F27</f>
        <v>83.50409850000003</v>
      </c>
      <c r="G55" s="25">
        <f>'Income Statement'!G27</f>
        <v>92.90098371039814</v>
      </c>
      <c r="H55" s="25">
        <f>'Income Statement'!H27</f>
        <v>103.41118199876286</v>
      </c>
      <c r="I55" s="25">
        <f>'Income Statement'!I27</f>
        <v>113.43296384130937</v>
      </c>
      <c r="J55" s="25">
        <f>'Income Statement'!J27</f>
        <v>121.9710936446005</v>
      </c>
    </row>
    <row r="56" spans="1:10">
      <c r="A56" s="43" t="s">
        <v>178</v>
      </c>
      <c r="B56" s="24" t="s">
        <v>8</v>
      </c>
      <c r="D56" s="61">
        <f>D54+D55-D57</f>
        <v>18.799999999999898</v>
      </c>
      <c r="E56" s="61">
        <f>E54+E55-E57</f>
        <v>22.200000000000045</v>
      </c>
      <c r="F56" s="25">
        <f>Assumptions!F67*MAX(0,F55)</f>
        <v>25.051229550000006</v>
      </c>
      <c r="G56" s="25">
        <f>Assumptions!G67*MAX(0,G55)</f>
        <v>27.87029511311944</v>
      </c>
      <c r="H56" s="25">
        <f>Assumptions!H67*MAX(0,H55)</f>
        <v>31.023354599628856</v>
      </c>
      <c r="I56" s="25">
        <f>Assumptions!I67*MAX(0,I55)</f>
        <v>34.02988915239281</v>
      </c>
      <c r="J56" s="25">
        <f>Assumptions!J67*MAX(0,J55)</f>
        <v>36.59132809338015</v>
      </c>
    </row>
    <row r="57" spans="1:10">
      <c r="A57" s="30" t="s">
        <v>171</v>
      </c>
      <c r="B57" s="31" t="s">
        <v>8</v>
      </c>
      <c r="C57" s="32">
        <f>'Balance Sheet'!C26</f>
        <v>240.0</v>
      </c>
      <c r="D57" s="32">
        <f>'Balance Sheet'!D26</f>
        <v>283.8</v>
      </c>
      <c r="E57" s="32">
        <f>'Balance Sheet'!E26</f>
        <v>335.5</v>
      </c>
      <c r="F57" s="56">
        <f>F54+F55-F56</f>
        <v>393.95286895000004</v>
      </c>
      <c r="G57" s="56">
        <f>G54+G55-G56</f>
        <v>458.98355754727874</v>
      </c>
      <c r="H57" s="56">
        <f>H54+H55-H56</f>
        <v>531.3713849464127</v>
      </c>
      <c r="I57" s="56">
        <f>I54+I55-I56</f>
        <v>610.7744596353293</v>
      </c>
      <c r="J57" s="56">
        <f>J54+J55-J56</f>
        <v>696.1542251865496</v>
      </c>
    </row>
    <row r="59" spans="1:10">
      <c r="A59" s="5" t="s">
        <v>190</v>
      </c>
      <c r="B59" s="5"/>
      <c r="C59" s="5"/>
      <c r="D59" s="5"/>
      <c r="E59" s="5"/>
      <c r="F59" s="5"/>
      <c r="G59" s="5"/>
      <c r="H59" s="5"/>
      <c r="I59" s="5"/>
      <c r="J59" s="5"/>
    </row>
    <row r="60" spans="1:10">
      <c r="A60" s="11" t="s">
        <v>191</v>
      </c>
      <c r="B60" s="24" t="s">
        <v>8</v>
      </c>
      <c r="D60" s="61">
        <f>C62</f>
        <v>120.0</v>
      </c>
      <c r="E60" s="61">
        <f>D62</f>
        <v>120.0</v>
      </c>
      <c r="F60" s="61">
        <f>E62</f>
        <v>120.0</v>
      </c>
      <c r="G60" s="61">
        <f>F62</f>
        <v>125.0</v>
      </c>
      <c r="H60" s="61">
        <f>G62</f>
        <v>130.0</v>
      </c>
      <c r="I60" s="61">
        <f>H62</f>
        <v>135.0</v>
      </c>
      <c r="J60" s="61">
        <f>I62</f>
        <v>140.0</v>
      </c>
    </row>
    <row r="61" spans="1:10">
      <c r="A61" s="43" t="s">
        <v>177</v>
      </c>
      <c r="B61" s="24" t="s">
        <v>8</v>
      </c>
      <c r="D61" s="61">
        <f>D62-D60</f>
        <v>0.0</v>
      </c>
      <c r="E61" s="61">
        <f>E62-E60</f>
        <v>0.0</v>
      </c>
      <c r="F61" s="25">
        <f>Assumptions!F69</f>
        <v>5.0</v>
      </c>
      <c r="G61" s="25">
        <f>Assumptions!G69</f>
        <v>5.0</v>
      </c>
      <c r="H61" s="25">
        <f>Assumptions!H69</f>
        <v>5.0</v>
      </c>
      <c r="I61" s="25">
        <f>Assumptions!I69</f>
        <v>5.0</v>
      </c>
      <c r="J61" s="25">
        <f>Assumptions!J69</f>
        <v>5.0</v>
      </c>
    </row>
    <row r="62" spans="1:10">
      <c r="A62" s="30" t="s">
        <v>192</v>
      </c>
      <c r="B62" s="31" t="s">
        <v>8</v>
      </c>
      <c r="C62" s="32">
        <f>'Balance Sheet'!C25</f>
        <v>120.0</v>
      </c>
      <c r="D62" s="32">
        <f>'Balance Sheet'!D25</f>
        <v>120.0</v>
      </c>
      <c r="E62" s="32">
        <f>'Balance Sheet'!E25</f>
        <v>120.0</v>
      </c>
      <c r="F62" s="56">
        <f>F60+F61</f>
        <v>125.0</v>
      </c>
      <c r="G62" s="56">
        <f>G60+G61</f>
        <v>130.0</v>
      </c>
      <c r="H62" s="56">
        <f>H60+H61</f>
        <v>135.0</v>
      </c>
      <c r="I62" s="56">
        <f>I60+I61</f>
        <v>140.0</v>
      </c>
      <c r="J62" s="56">
        <f>J60+J61</f>
        <v>145.0</v>
      </c>
    </row>
    <row r="63" spans="1:10">
      <c r="A63" s="11" t="s">
        <v>193</v>
      </c>
      <c r="B63" s="24" t="s">
        <v>8</v>
      </c>
      <c r="D63" s="61">
        <f>C65</f>
        <v>-20.0</v>
      </c>
      <c r="E63" s="61">
        <f>D65</f>
        <v>-35.0</v>
      </c>
      <c r="F63" s="61">
        <f>E65</f>
        <v>-50.0</v>
      </c>
      <c r="G63" s="61">
        <f>F65</f>
        <v>-80.0</v>
      </c>
      <c r="H63" s="61">
        <f>G65</f>
        <v>-110.0</v>
      </c>
      <c r="I63" s="61">
        <f>H65</f>
        <v>-140.0</v>
      </c>
      <c r="J63" s="61">
        <f>I65</f>
        <v>-175.0</v>
      </c>
    </row>
    <row r="64" spans="1:10">
      <c r="A64" s="43" t="s">
        <v>179</v>
      </c>
      <c r="B64" s="24" t="s">
        <v>8</v>
      </c>
      <c r="D64" s="61">
        <f>D63-D65</f>
        <v>15.0</v>
      </c>
      <c r="E64" s="61">
        <f>E63-E65</f>
        <v>15.0</v>
      </c>
      <c r="F64" s="25">
        <f>Assumptions!F68</f>
        <v>30.0</v>
      </c>
      <c r="G64" s="25">
        <f>Assumptions!G68</f>
        <v>30.0</v>
      </c>
      <c r="H64" s="25">
        <f>Assumptions!H68</f>
        <v>30.0</v>
      </c>
      <c r="I64" s="25">
        <f>Assumptions!I68</f>
        <v>35.0</v>
      </c>
      <c r="J64" s="25">
        <f>Assumptions!J68</f>
        <v>35.0</v>
      </c>
    </row>
    <row r="65" spans="1:10">
      <c r="A65" s="30" t="s">
        <v>194</v>
      </c>
      <c r="B65" s="31" t="s">
        <v>8</v>
      </c>
      <c r="C65" s="32">
        <f>'Balance Sheet'!C27</f>
        <v>-20.0</v>
      </c>
      <c r="D65" s="32">
        <f>'Balance Sheet'!D27</f>
        <v>-35.0</v>
      </c>
      <c r="E65" s="32">
        <f>'Balance Sheet'!E27</f>
        <v>-50.0</v>
      </c>
      <c r="F65" s="56">
        <f>F63-F64</f>
        <v>-80.0</v>
      </c>
      <c r="G65" s="56">
        <f>G63-G64</f>
        <v>-110.0</v>
      </c>
      <c r="H65" s="56">
        <f>H63-H64</f>
        <v>-140.0</v>
      </c>
      <c r="I65" s="56">
        <f>I63-I64</f>
        <v>-175.0</v>
      </c>
      <c r="J65" s="56">
        <f>J63-J64</f>
        <v>-210.0</v>
      </c>
    </row>
    <row r="67" spans="1:10">
      <c r="A67" s="5" t="s">
        <v>195</v>
      </c>
      <c r="B67" s="5"/>
      <c r="C67" s="5"/>
      <c r="D67" s="5"/>
      <c r="E67" s="5"/>
      <c r="F67" s="5"/>
      <c r="G67" s="5"/>
      <c r="H67" s="5"/>
      <c r="I67" s="5"/>
      <c r="J67" s="5"/>
    </row>
    <row r="68" spans="1:10">
      <c r="A68" s="43" t="s">
        <v>196</v>
      </c>
      <c r="B68" s="24" t="s">
        <v>113</v>
      </c>
      <c r="F68" s="61">
        <f>E71</f>
        <v>40.0</v>
      </c>
      <c r="G68" s="61">
        <f>F71</f>
        <v>39.10714285714286</v>
      </c>
      <c r="H68" s="61">
        <f>G71</f>
        <v>38.25968523002422</v>
      </c>
      <c r="I68" s="61">
        <f>H71</f>
        <v>37.45323361712099</v>
      </c>
      <c r="J68" s="61">
        <f>I71</f>
        <v>36.53015669404407</v>
      </c>
    </row>
    <row r="69" spans="1:10">
      <c r="A69" s="43" t="s">
        <v>197</v>
      </c>
      <c r="B69" s="24" t="s">
        <v>113</v>
      </c>
      <c r="F69" s="25">
        <f>F64/Assumptions!F70</f>
        <v>1.0714285714285714</v>
      </c>
      <c r="G69" s="25">
        <f>G64/Assumptions!G70</f>
        <v>1.0169491525423728</v>
      </c>
      <c r="H69" s="25">
        <f>H64/Assumptions!H70</f>
        <v>0.967741935483871</v>
      </c>
      <c r="I69" s="25">
        <f>I64/Assumptions!I70</f>
        <v>1.0769230769230769</v>
      </c>
      <c r="J69" s="25">
        <f>J64/Assumptions!J70</f>
        <v>1.0294117647058822</v>
      </c>
    </row>
    <row r="70" spans="1:10">
      <c r="A70" s="43" t="s">
        <v>198</v>
      </c>
      <c r="B70" s="24" t="s">
        <v>113</v>
      </c>
      <c r="F70" s="25">
        <f>F61/Assumptions!F70</f>
        <v>0.17857142857142858</v>
      </c>
      <c r="G70" s="25">
        <f>G61/Assumptions!G70</f>
        <v>0.1694915254237288</v>
      </c>
      <c r="H70" s="25">
        <f>H61/Assumptions!H70</f>
        <v>0.16129032258064516</v>
      </c>
      <c r="I70" s="25">
        <f>I61/Assumptions!I70</f>
        <v>0.15384615384615385</v>
      </c>
      <c r="J70" s="25">
        <f>J61/Assumptions!J70</f>
        <v>0.14705882352941177</v>
      </c>
    </row>
    <row r="71" spans="1:10">
      <c r="A71" s="30" t="s">
        <v>199</v>
      </c>
      <c r="B71" s="31" t="s">
        <v>113</v>
      </c>
      <c r="C71" s="64">
        <v>41.5</v>
      </c>
      <c r="D71" s="64">
        <v>40.8</v>
      </c>
      <c r="E71" s="64">
        <v>40</v>
      </c>
      <c r="F71" s="56">
        <f>F68-F69+F70</f>
        <v>39.10714285714286</v>
      </c>
      <c r="G71" s="56">
        <f>G68-G69+G70</f>
        <v>38.25968523002422</v>
      </c>
      <c r="H71" s="56">
        <f>H68-H69+H70</f>
        <v>37.45323361712099</v>
      </c>
      <c r="I71" s="56">
        <f>I68-I69+I70</f>
        <v>36.53015669404407</v>
      </c>
      <c r="J71" s="56">
        <f>J68-J69+J70</f>
        <v>35.647803752867596</v>
      </c>
    </row>
    <row r="72" spans="1:10">
      <c r="A72" s="11" t="s">
        <v>200</v>
      </c>
      <c r="B72" s="24" t="s">
        <v>113</v>
      </c>
      <c r="C72" s="46">
        <v>41.8</v>
      </c>
      <c r="D72" s="46">
        <v>41.1</v>
      </c>
      <c r="E72" s="46">
        <v>40.4</v>
      </c>
      <c r="F72" s="61">
        <f>AVERAGE(F68,F71)</f>
        <v>39.55357142857143</v>
      </c>
      <c r="G72" s="61">
        <f>AVERAGE(G68,G71)</f>
        <v>38.68341404358354</v>
      </c>
      <c r="H72" s="61">
        <f>AVERAGE(H68,H71)</f>
        <v>37.8564594235726</v>
      </c>
      <c r="I72" s="61">
        <f>AVERAGE(I68,I71)</f>
        <v>36.99169515558253</v>
      </c>
      <c r="J72" s="61">
        <f>AVERAGE(J68,J71)</f>
        <v>36.088980223455835</v>
      </c>
    </row>
  </sheetData>
  <mergeCells count="2">
    <mergeCell ref="C4:E4"/>
    <mergeCell ref="F4:J4"/>
  </mergeCells>
  <printOptions horizontalCentered="1"/>
  <pageMargins left="0.5" right="0.5" top="0.6" bottom="0.6" header="0.3" footer="0.3"/>
  <pageSetup paperSize="1" fitToHeight="0" orientation="landscape"/>
  <headerFooter>
    <oddFooter>&amp;L&amp;8Northwind Components Inc. (fictional company)&amp;C&amp;8&amp;A&amp;R&amp;8Page &amp;P of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rgb="FFC00000"/>
    <pageSetUpPr fitToPage="1"/>
  </sheetPr>
  <dimension ref="A1:K20"/>
  <sheetViews>
    <sheetView showGridLines="0" zoomScale="90" zoomScaleNormal="90" workbookViewId="0">
      <pane xSplit="2" ySplit="5" topLeftCell="C6" activePane="bottomRight" state="frozen"/>
      <selection pane="topRight" activeCell="C1" sqref="C1"/>
      <selection pane="bottomLeft" activeCell="A6" sqref="A6"/>
      <selection pane="bottomRight"/>
    </sheetView>
  </sheetViews>
  <sheetFormatPr defaultRowHeight="15"/>
  <cols>
    <col min="1" max="1" width="64.7109375" customWidth="1"/>
    <col min="2" max="2" width="7.7109375" customWidth="1"/>
    <col min="3" max="10" width="11.7109375" customWidth="1"/>
    <col min="11" max="11" width="9.7109375" customWidth="1"/>
  </cols>
  <sheetData>
    <row r="1" spans="1:11">
      <c r="A1" s="18" t="s">
        <v>201</v>
      </c>
    </row>
    <row r="2" spans="1:11">
      <c r="A2" s="4" t="s">
        <v>202</v>
      </c>
    </row>
    <row r="3" spans="1:11">
      <c r="A3" s="19" t="str">
        <f>"Scenario: "&amp;Scenario</f>
        <v>Scenario: Base</v>
      </c>
    </row>
    <row r="4" spans="1:11">
      <c r="C4" s="20" t="s">
        <v>2</v>
      </c>
      <c r="D4" s="20"/>
      <c r="E4" s="20"/>
      <c r="F4" s="20" t="s">
        <v>3</v>
      </c>
      <c r="G4" s="20"/>
      <c r="H4" s="20"/>
      <c r="I4" s="20"/>
      <c r="J4" s="20"/>
    </row>
    <row r="5" spans="1:11">
      <c r="A5" s="21" t="s">
        <v>4</v>
      </c>
      <c r="B5" s="22" t="s">
        <v>5</v>
      </c>
      <c r="C5" s="37">
        <f>Assumptions!C$5</f>
        <v>2023</v>
      </c>
      <c r="D5" s="37">
        <f>Assumptions!D$5</f>
        <v>2024</v>
      </c>
      <c r="E5" s="37">
        <f>Assumptions!E$5</f>
        <v>2025</v>
      </c>
      <c r="F5" s="38">
        <f>Assumptions!F$5</f>
        <v>2026</v>
      </c>
      <c r="G5" s="38">
        <f>Assumptions!G$5</f>
        <v>2027</v>
      </c>
      <c r="H5" s="38">
        <f>Assumptions!H$5</f>
        <v>2028</v>
      </c>
      <c r="I5" s="38">
        <f>Assumptions!I$5</f>
        <v>2029</v>
      </c>
      <c r="J5" s="38">
        <f>Assumptions!J$5</f>
        <v>2030</v>
      </c>
      <c r="K5" s="22" t="s">
        <v>215</v>
      </c>
    </row>
    <row r="6" spans="1:11">
      <c r="A6" s="5" t="s">
        <v>203</v>
      </c>
      <c r="B6" s="5"/>
      <c r="C6" s="5"/>
      <c r="D6" s="5"/>
      <c r="E6" s="5"/>
      <c r="F6" s="5"/>
      <c r="G6" s="5"/>
      <c r="H6" s="5"/>
      <c r="I6" s="5"/>
      <c r="J6" s="5"/>
      <c r="K6" s="5"/>
    </row>
    <row r="7" spans="1:11">
      <c r="A7" s="11" t="s">
        <v>204</v>
      </c>
      <c r="B7" s="24" t="s">
        <v>8</v>
      </c>
      <c r="C7" s="65">
        <f>ROUND('Balance Sheet'!C14-'Balance Sheet'!C29,6)</f>
        <v>0</v>
      </c>
      <c r="D7" s="65">
        <f>ROUND('Balance Sheet'!D14-'Balance Sheet'!D29,6)</f>
        <v>0</v>
      </c>
      <c r="E7" s="65">
        <f>ROUND('Balance Sheet'!E14-'Balance Sheet'!E29,6)</f>
        <v>0</v>
      </c>
      <c r="F7" s="65">
        <f>ROUND('Balance Sheet'!F14-'Balance Sheet'!F29,6)</f>
        <v>0</v>
      </c>
      <c r="G7" s="65">
        <f>ROUND('Balance Sheet'!G14-'Balance Sheet'!G29,6)</f>
        <v>0</v>
      </c>
      <c r="H7" s="65">
        <f>ROUND('Balance Sheet'!H14-'Balance Sheet'!H29,6)</f>
        <v>0</v>
      </c>
      <c r="I7" s="65">
        <f>ROUND('Balance Sheet'!I14-'Balance Sheet'!I29,6)</f>
        <v>0</v>
      </c>
      <c r="J7" s="65">
        <f>ROUND('Balance Sheet'!J14-'Balance Sheet'!J29,6)</f>
        <v>0</v>
      </c>
      <c r="K7" s="66" t="b">
        <f>SUMPRODUCT(ABS(C7:J7))&lt;Tolerance</f>
        <v>1</v>
      </c>
    </row>
    <row r="8" spans="1:11">
      <c r="A8" s="11" t="s">
        <v>205</v>
      </c>
      <c r="B8" s="24" t="s">
        <v>8</v>
      </c>
      <c r="F8" s="65">
        <f>ROUND('Balance Sheet'!F7-'Cash Flow'!F30,6)</f>
        <v>0</v>
      </c>
      <c r="G8" s="65">
        <f>ROUND('Balance Sheet'!G7-'Cash Flow'!G30,6)</f>
        <v>0</v>
      </c>
      <c r="H8" s="65">
        <f>ROUND('Balance Sheet'!H7-'Cash Flow'!H30,6)</f>
        <v>0</v>
      </c>
      <c r="I8" s="65">
        <f>ROUND('Balance Sheet'!I7-'Cash Flow'!I30,6)</f>
        <v>0</v>
      </c>
      <c r="J8" s="65">
        <f>ROUND('Balance Sheet'!J7-'Cash Flow'!J30,6)</f>
        <v>0</v>
      </c>
      <c r="K8" s="66" t="b">
        <f>SUMPRODUCT(ABS(C8:J8))&lt;Tolerance</f>
        <v>1</v>
      </c>
    </row>
    <row r="9" spans="1:11">
      <c r="A9" s="11" t="s">
        <v>206</v>
      </c>
      <c r="B9" s="24" t="s">
        <v>8</v>
      </c>
      <c r="F9" s="65">
        <f>ROUND('Cash Flow'!F30-Schedules!F42,6)</f>
        <v>0</v>
      </c>
      <c r="G9" s="65">
        <f>ROUND('Cash Flow'!G30-Schedules!G42,6)</f>
        <v>0</v>
      </c>
      <c r="H9" s="65">
        <f>ROUND('Cash Flow'!H30-Schedules!H42,6)</f>
        <v>0</v>
      </c>
      <c r="I9" s="65">
        <f>ROUND('Cash Flow'!I30-Schedules!I42,6)</f>
        <v>0</v>
      </c>
      <c r="J9" s="65">
        <f>ROUND('Cash Flow'!J30-Schedules!J42,6)</f>
        <v>0</v>
      </c>
      <c r="K9" s="66" t="b">
        <f>SUMPRODUCT(ABS(C9:J9))&lt;Tolerance</f>
        <v>1</v>
      </c>
    </row>
    <row r="10" spans="1:11">
      <c r="A10" s="11" t="s">
        <v>207</v>
      </c>
      <c r="B10" s="24" t="s">
        <v>8</v>
      </c>
      <c r="F10" s="65">
        <f>ROUND('Balance Sheet'!F26-('Balance Sheet'!E26+'Income Statement'!F27+'Cash Flow'!F24),6)</f>
        <v>0</v>
      </c>
      <c r="G10" s="65">
        <f>ROUND('Balance Sheet'!G26-('Balance Sheet'!F26+'Income Statement'!G27+'Cash Flow'!G24),6)</f>
        <v>0</v>
      </c>
      <c r="H10" s="65">
        <f>ROUND('Balance Sheet'!H26-('Balance Sheet'!G26+'Income Statement'!H27+'Cash Flow'!H24),6)</f>
        <v>0</v>
      </c>
      <c r="I10" s="65">
        <f>ROUND('Balance Sheet'!I26-('Balance Sheet'!H26+'Income Statement'!I27+'Cash Flow'!I24),6)</f>
        <v>0</v>
      </c>
      <c r="J10" s="65">
        <f>ROUND('Balance Sheet'!J26-('Balance Sheet'!I26+'Income Statement'!J27+'Cash Flow'!J24),6)</f>
        <v>0</v>
      </c>
      <c r="K10" s="66" t="b">
        <f>SUMPRODUCT(ABS(C10:J10))&lt;Tolerance</f>
        <v>1</v>
      </c>
    </row>
    <row r="11" spans="1:11">
      <c r="A11" s="11" t="s">
        <v>208</v>
      </c>
      <c r="B11" s="24" t="s">
        <v>8</v>
      </c>
      <c r="F11" s="65">
        <f>ROUND(('Balance Sheet'!F20+'Balance Sheet'!F19)-('Balance Sheet'!E20+'Balance Sheet'!E19+'Cash Flow'!F21+'Cash Flow'!F22),6)</f>
        <v>0</v>
      </c>
      <c r="G11" s="65">
        <f>ROUND(('Balance Sheet'!G20+'Balance Sheet'!G19)-('Balance Sheet'!F20+'Balance Sheet'!F19+'Cash Flow'!G21+'Cash Flow'!G22),6)</f>
        <v>0</v>
      </c>
      <c r="H11" s="65">
        <f>ROUND(('Balance Sheet'!H20+'Balance Sheet'!H19)-('Balance Sheet'!G20+'Balance Sheet'!G19+'Cash Flow'!H21+'Cash Flow'!H22),6)</f>
        <v>0</v>
      </c>
      <c r="I11" s="65">
        <f>ROUND(('Balance Sheet'!I20+'Balance Sheet'!I19)-('Balance Sheet'!H20+'Balance Sheet'!H19+'Cash Flow'!I21+'Cash Flow'!I22),6)</f>
        <v>0</v>
      </c>
      <c r="J11" s="65">
        <f>ROUND(('Balance Sheet'!J20+'Balance Sheet'!J19)-('Balance Sheet'!I20+'Balance Sheet'!I19+'Cash Flow'!J21+'Cash Flow'!J22),6)</f>
        <v>0</v>
      </c>
      <c r="K11" s="66" t="b">
        <f>SUMPRODUCT(ABS(C11:J11))&lt;Tolerance</f>
        <v>1</v>
      </c>
    </row>
    <row r="12" spans="1:11">
      <c r="A12" s="11" t="s">
        <v>209</v>
      </c>
      <c r="B12" s="24" t="s">
        <v>8</v>
      </c>
      <c r="F12" s="65">
        <f>ROUND('Balance Sheet'!F12-('Balance Sheet'!E12-'Cash Flow'!F17-'Income Statement'!F20),6)</f>
        <v>0</v>
      </c>
      <c r="G12" s="65">
        <f>ROUND('Balance Sheet'!G12-('Balance Sheet'!F12-'Cash Flow'!G17-'Income Statement'!G20),6)</f>
        <v>0</v>
      </c>
      <c r="H12" s="65">
        <f>ROUND('Balance Sheet'!H12-('Balance Sheet'!G12-'Cash Flow'!H17-'Income Statement'!H20),6)</f>
        <v>0</v>
      </c>
      <c r="I12" s="65">
        <f>ROUND('Balance Sheet'!I12-('Balance Sheet'!H12-'Cash Flow'!I17-'Income Statement'!I20),6)</f>
        <v>0</v>
      </c>
      <c r="J12" s="65">
        <f>ROUND('Balance Sheet'!J12-('Balance Sheet'!I12-'Cash Flow'!J17-'Income Statement'!J20),6)</f>
        <v>0</v>
      </c>
      <c r="K12" s="66" t="b">
        <f>SUMPRODUCT(ABS(C12:J12))&lt;Tolerance</f>
        <v>1</v>
      </c>
    </row>
    <row r="13" spans="1:11">
      <c r="A13" s="11" t="s">
        <v>210</v>
      </c>
      <c r="B13" s="24" t="s">
        <v>8</v>
      </c>
      <c r="F13" s="65">
        <f>ROUND('Balance Sheet'!F28-('Balance Sheet'!E28+'Income Statement'!F27+'Cash Flow'!F23+'Cash Flow'!F24+'Cash Flow'!F25),6)</f>
        <v>0</v>
      </c>
      <c r="G13" s="65">
        <f>ROUND('Balance Sheet'!G28-('Balance Sheet'!F28+'Income Statement'!G27+'Cash Flow'!G23+'Cash Flow'!G24+'Cash Flow'!G25),6)</f>
        <v>0</v>
      </c>
      <c r="H13" s="65">
        <f>ROUND('Balance Sheet'!H28-('Balance Sheet'!G28+'Income Statement'!H27+'Cash Flow'!H23+'Cash Flow'!H24+'Cash Flow'!H25),6)</f>
        <v>0</v>
      </c>
      <c r="I13" s="65">
        <f>ROUND('Balance Sheet'!I28-('Balance Sheet'!H28+'Income Statement'!I27+'Cash Flow'!I23+'Cash Flow'!I24+'Cash Flow'!I25),6)</f>
        <v>0</v>
      </c>
      <c r="J13" s="65">
        <f>ROUND('Balance Sheet'!J28-('Balance Sheet'!I28+'Income Statement'!J27+'Cash Flow'!J23+'Cash Flow'!J24+'Cash Flow'!J25),6)</f>
        <v>0</v>
      </c>
      <c r="K13" s="66" t="b">
        <f>SUMPRODUCT(ABS(C13:J13))&lt;Tolerance</f>
        <v>1</v>
      </c>
    </row>
    <row r="14" spans="1:11">
      <c r="A14" s="11" t="s">
        <v>211</v>
      </c>
      <c r="B14" s="24" t="s">
        <v>8</v>
      </c>
      <c r="F14" s="65">
        <f>ROUND(SUM('Cash Flow'!F9:F13)+Schedules!F19,6)</f>
        <v>0</v>
      </c>
      <c r="G14" s="65">
        <f>ROUND(SUM('Cash Flow'!G9:G13)+Schedules!G19,6)</f>
        <v>0</v>
      </c>
      <c r="H14" s="65">
        <f>ROUND(SUM('Cash Flow'!H9:H13)+Schedules!H19,6)</f>
        <v>0</v>
      </c>
      <c r="I14" s="65">
        <f>ROUND(SUM('Cash Flow'!I9:I13)+Schedules!I19,6)</f>
        <v>0</v>
      </c>
      <c r="J14" s="65">
        <f>ROUND(SUM('Cash Flow'!J9:J13)+Schedules!J19,6)</f>
        <v>0</v>
      </c>
      <c r="K14" s="66" t="b">
        <f>SUMPRODUCT(ABS(C14:J14))&lt;Tolerance</f>
        <v>1</v>
      </c>
    </row>
    <row r="15" spans="1:11">
      <c r="A15" s="11" t="s">
        <v>212</v>
      </c>
      <c r="B15" s="24" t="s">
        <v>8</v>
      </c>
      <c r="F15" s="65">
        <f>ROUND(MAX(0,Min_Cash-'Balance Sheet'!F7),6)</f>
        <v>0</v>
      </c>
      <c r="G15" s="65">
        <f>ROUND(MAX(0,Min_Cash-'Balance Sheet'!G7),6)</f>
        <v>0</v>
      </c>
      <c r="H15" s="65">
        <f>ROUND(MAX(0,Min_Cash-'Balance Sheet'!H7),6)</f>
        <v>0</v>
      </c>
      <c r="I15" s="65">
        <f>ROUND(MAX(0,Min_Cash-'Balance Sheet'!I7),6)</f>
        <v>0</v>
      </c>
      <c r="J15" s="65">
        <f>ROUND(MAX(0,Min_Cash-'Balance Sheet'!J7),6)</f>
        <v>0</v>
      </c>
      <c r="K15" s="66" t="b">
        <f>SUMPRODUCT(ABS(C15:J15))&lt;Tolerance</f>
        <v>1</v>
      </c>
    </row>
    <row r="16" spans="1:11">
      <c r="A16" s="11" t="s">
        <v>213</v>
      </c>
      <c r="B16" s="24" t="s">
        <v>8</v>
      </c>
      <c r="F16" s="65">
        <f>ROUND(MAX(0,'Balance Sheet'!F19-Revolver_Limit),6)</f>
        <v>0</v>
      </c>
      <c r="G16" s="65">
        <f>ROUND(MAX(0,'Balance Sheet'!G19-Revolver_Limit),6)</f>
        <v>0</v>
      </c>
      <c r="H16" s="65">
        <f>ROUND(MAX(0,'Balance Sheet'!H19-Revolver_Limit),6)</f>
        <v>0</v>
      </c>
      <c r="I16" s="65">
        <f>ROUND(MAX(0,'Balance Sheet'!I19-Revolver_Limit),6)</f>
        <v>0</v>
      </c>
      <c r="J16" s="65">
        <f>ROUND(MAX(0,'Balance Sheet'!J19-Revolver_Limit),6)</f>
        <v>0</v>
      </c>
      <c r="K16" s="66" t="b">
        <f>SUMPRODUCT(ABS(C16:J16))&lt;Tolerance</f>
        <v>1</v>
      </c>
    </row>
    <row r="17" spans="1:11">
      <c r="A17" s="11" t="s">
        <v>214</v>
      </c>
      <c r="B17" s="24" t="s">
        <v>8</v>
      </c>
      <c r="C17" s="65">
        <f>ROUND(MAX(0,-'Balance Sheet'!C19)+MAX(0,-'Balance Sheet'!C20),6)</f>
        <v>0</v>
      </c>
      <c r="D17" s="65">
        <f>ROUND(MAX(0,-'Balance Sheet'!D19)+MAX(0,-'Balance Sheet'!D20),6)</f>
        <v>0</v>
      </c>
      <c r="E17" s="65">
        <f>ROUND(MAX(0,-'Balance Sheet'!E19)+MAX(0,-'Balance Sheet'!E20),6)</f>
        <v>0</v>
      </c>
      <c r="F17" s="65">
        <f>ROUND(MAX(0,-'Balance Sheet'!F19)+MAX(0,-'Balance Sheet'!F20),6)</f>
        <v>0</v>
      </c>
      <c r="G17" s="65">
        <f>ROUND(MAX(0,-'Balance Sheet'!G19)+MAX(0,-'Balance Sheet'!G20),6)</f>
        <v>0</v>
      </c>
      <c r="H17" s="65">
        <f>ROUND(MAX(0,-'Balance Sheet'!H19)+MAX(0,-'Balance Sheet'!H20),6)</f>
        <v>0</v>
      </c>
      <c r="I17" s="65">
        <f>ROUND(MAX(0,-'Balance Sheet'!I19)+MAX(0,-'Balance Sheet'!I20),6)</f>
        <v>0</v>
      </c>
      <c r="J17" s="65">
        <f>ROUND(MAX(0,-'Balance Sheet'!J19)+MAX(0,-'Balance Sheet'!J20),6)</f>
        <v>0</v>
      </c>
      <c r="K17" s="66" t="b">
        <f>SUMPRODUCT(ABS(C17:J17))&lt;Tolerance</f>
        <v>1</v>
      </c>
    </row>
    <row r="19" spans="1:11">
      <c r="A19" s="57" t="s">
        <v>216</v>
      </c>
      <c r="C19" s="67" t="b">
        <f>AND(K7:K17)</f>
        <v>1</v>
      </c>
    </row>
    <row r="20" spans="1:11">
      <c r="A20" s="4" t="s">
        <v>217</v>
      </c>
    </row>
  </sheetData>
  <mergeCells count="2">
    <mergeCell ref="C4:E4"/>
    <mergeCell ref="F4:J4"/>
  </mergeCells>
  <printOptions horizontalCentered="1"/>
  <pageMargins left="0.5" right="0.5" top="0.6" bottom="0.6" header="0.3" footer="0.3"/>
  <pageSetup paperSize="1" fitToHeight="0" orientation="landscape"/>
  <headerFooter>
    <oddFooter>&amp;L&amp;8Northwind Components Inc. (fictional company)&amp;C&amp;8&amp;A&amp;R&amp;8Page &amp;P of 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7F7F7F"/>
    <pageSetUpPr fitToPage="1"/>
  </sheetPr>
  <dimension ref="A1:G25"/>
  <sheetViews>
    <sheetView showGridLines="0" workbookViewId="0">
      <pane ySplit="3" topLeftCell="A4" activePane="bottomLeft" state="frozen"/>
      <selection pane="bottomLeft"/>
    </sheetView>
  </sheetViews>
  <sheetFormatPr defaultRowHeight="15"/>
  <cols>
    <col min="1" max="1" width="34.7109375" customWidth="1"/>
    <col min="2" max="2" width="12.7109375" customWidth="1"/>
    <col min="3" max="7" width="13.7109375" customWidth="1"/>
  </cols>
  <sheetData>
    <row r="1" spans="1:7">
      <c r="A1" s="18" t="s">
        <v>218</v>
      </c>
    </row>
    <row r="2" spans="1:7">
      <c r="A2" s="4" t="s">
        <v>219</v>
      </c>
    </row>
    <row r="4" spans="1:7" ht="62" customHeight="1">
      <c r="A4" s="68" t="s">
        <v>220</v>
      </c>
      <c r="B4" s="68"/>
      <c r="C4" s="68"/>
      <c r="D4" s="68"/>
      <c r="E4" s="68"/>
      <c r="F4" s="68"/>
      <c r="G4" s="68"/>
    </row>
    <row r="6" spans="1:7">
      <c r="A6" s="69" t="s">
        <v>221</v>
      </c>
    </row>
    <row r="7" spans="1:7">
      <c r="C7" s="70" t="s">
        <v>222</v>
      </c>
      <c r="D7" s="70"/>
      <c r="E7" s="70"/>
      <c r="F7" s="70"/>
      <c r="G7" s="70"/>
    </row>
    <row r="8" spans="1:7">
      <c r="B8" s="70" t="s">
        <v>223</v>
      </c>
      <c r="C8" s="71">
        <v>-2</v>
      </c>
      <c r="D8" s="71">
        <v>-1</v>
      </c>
      <c r="E8" s="71">
        <v>0</v>
      </c>
      <c r="F8" s="71">
        <v>1</v>
      </c>
      <c r="G8" s="71">
        <v>2</v>
      </c>
    </row>
    <row r="9" spans="1:7">
      <c r="B9" s="71">
        <v>-2</v>
      </c>
      <c r="C9" s="72">
        <v>174.9329444033145</v>
      </c>
      <c r="D9" s="72">
        <v>183.4618564100249</v>
      </c>
      <c r="E9" s="72">
        <v>192.3202600795725</v>
      </c>
      <c r="F9" s="72">
        <v>201.5176119964584</v>
      </c>
      <c r="G9" s="72">
        <v>211.0635479910091</v>
      </c>
    </row>
    <row r="10" spans="1:7">
      <c r="B10" s="71">
        <v>-1</v>
      </c>
      <c r="C10" s="72">
        <v>185.0446752936794</v>
      </c>
      <c r="D10" s="72">
        <v>194.0665879944193</v>
      </c>
      <c r="E10" s="72">
        <v>203.4370381188542</v>
      </c>
      <c r="F10" s="72">
        <v>213.1660288748664</v>
      </c>
      <c r="G10" s="72">
        <v>223.2637530771946</v>
      </c>
    </row>
    <row r="11" spans="1:7">
      <c r="A11" s="73" t="s">
        <v>224</v>
      </c>
      <c r="B11" s="71">
        <v>0</v>
      </c>
      <c r="C11" s="72">
        <v>195.1564061840445</v>
      </c>
      <c r="D11" s="72">
        <v>204.6713195788138</v>
      </c>
      <c r="E11" s="74">
        <v>214.553816158136</v>
      </c>
      <c r="F11" s="72">
        <v>224.8144457532744</v>
      </c>
      <c r="G11" s="72">
        <v>235.4639581633801</v>
      </c>
    </row>
    <row r="12" spans="1:7">
      <c r="B12" s="71">
        <v>1</v>
      </c>
      <c r="C12" s="72">
        <v>205.2681370744095</v>
      </c>
      <c r="D12" s="72">
        <v>215.2760511632083</v>
      </c>
      <c r="E12" s="72">
        <v>225.6705941974176</v>
      </c>
      <c r="F12" s="72">
        <v>236.4628626316825</v>
      </c>
      <c r="G12" s="72">
        <v>247.6641632495657</v>
      </c>
    </row>
    <row r="13" spans="1:7">
      <c r="B13" s="71">
        <v>2</v>
      </c>
      <c r="C13" s="72">
        <v>215.3798679647745</v>
      </c>
      <c r="D13" s="72">
        <v>225.8807827476029</v>
      </c>
      <c r="E13" s="72">
        <v>236.7873722366993</v>
      </c>
      <c r="F13" s="72">
        <v>248.1112795100904</v>
      </c>
      <c r="G13" s="72">
        <v>259.8643683357512</v>
      </c>
    </row>
    <row r="16" spans="1:7">
      <c r="A16" s="69" t="s">
        <v>225</v>
      </c>
    </row>
    <row r="17" spans="1:7">
      <c r="C17" s="70" t="s">
        <v>222</v>
      </c>
      <c r="D17" s="70"/>
      <c r="E17" s="70"/>
      <c r="F17" s="70"/>
      <c r="G17" s="70"/>
    </row>
    <row r="18" spans="1:7">
      <c r="B18" s="70" t="s">
        <v>223</v>
      </c>
      <c r="C18" s="71">
        <v>-2</v>
      </c>
      <c r="D18" s="71">
        <v>-1</v>
      </c>
      <c r="E18" s="71">
        <v>0</v>
      </c>
      <c r="F18" s="71">
        <v>1</v>
      </c>
      <c r="G18" s="71">
        <v>2</v>
      </c>
    </row>
    <row r="19" spans="1:7">
      <c r="B19" s="71">
        <v>-2</v>
      </c>
      <c r="C19" s="72">
        <v>78.31867949000927</v>
      </c>
      <c r="D19" s="72">
        <v>80.30086996536969</v>
      </c>
      <c r="E19" s="72">
        <v>82.29898878237873</v>
      </c>
      <c r="F19" s="72">
        <v>84.31188863667612</v>
      </c>
      <c r="G19" s="72">
        <v>86.33833594583278</v>
      </c>
    </row>
    <row r="20" spans="1:7">
      <c r="B20" s="71">
        <v>-1</v>
      </c>
      <c r="C20" s="72">
        <v>87.06616122459123</v>
      </c>
      <c r="D20" s="72">
        <v>89.4556877564022</v>
      </c>
      <c r="E20" s="72">
        <v>91.8765745595752</v>
      </c>
      <c r="F20" s="72">
        <v>94.32808181562203</v>
      </c>
      <c r="G20" s="72">
        <v>96.80942571542327</v>
      </c>
    </row>
    <row r="21" spans="1:7">
      <c r="A21" s="73" t="s">
        <v>224</v>
      </c>
      <c r="B21" s="71">
        <v>0</v>
      </c>
      <c r="C21" s="72">
        <v>95.81349265106256</v>
      </c>
      <c r="D21" s="72">
        <v>98.60887776241424</v>
      </c>
      <c r="E21" s="74">
        <v>101.4508708892503</v>
      </c>
      <c r="F21" s="72">
        <v>104.3393238845461</v>
      </c>
      <c r="G21" s="72">
        <v>107.2739027124912</v>
      </c>
    </row>
    <row r="22" spans="1:7">
      <c r="B22" s="71">
        <v>1</v>
      </c>
      <c r="C22" s="72">
        <v>103.8279825290451</v>
      </c>
      <c r="D22" s="72">
        <v>107.0879758860549</v>
      </c>
      <c r="E22" s="72">
        <v>110.4131543597395</v>
      </c>
      <c r="F22" s="72">
        <v>113.803730674535</v>
      </c>
      <c r="G22" s="72">
        <v>117.2598911107628</v>
      </c>
    </row>
    <row r="23" spans="1:7">
      <c r="B23" s="71">
        <v>2</v>
      </c>
      <c r="C23" s="72">
        <v>111.8156152931514</v>
      </c>
      <c r="D23" s="72">
        <v>115.462668901833</v>
      </c>
      <c r="E23" s="72">
        <v>119.189939488854</v>
      </c>
      <c r="F23" s="72">
        <v>122.9980758057559</v>
      </c>
      <c r="G23" s="72">
        <v>126.8877085287837</v>
      </c>
    </row>
    <row r="25" spans="1:7">
      <c r="A25" s="4" t="s">
        <v>226</v>
      </c>
    </row>
  </sheetData>
  <mergeCells count="3">
    <mergeCell ref="A4:G4"/>
    <mergeCell ref="C7:G7"/>
    <mergeCell ref="C17:G17"/>
  </mergeCells>
  <printOptions horizontalCentered="1"/>
  <pageMargins left="0.5" right="0.5" top="0.6" bottom="0.6" header="0.3" footer="0.3"/>
  <pageSetup paperSize="1" fitToHeight="0" orientation="landscape"/>
  <headerFooter>
    <oddFooter>&amp;L&amp;8Northwind Components Inc. (fictional company)&amp;C&amp;8&amp;A&amp;R&amp;8Page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23</vt:i4>
      </vt:variant>
    </vt:vector>
  </HeadingPairs>
  <TitlesOfParts>
    <vt:vector size="32" baseType="lpstr">
      <vt:lpstr>Cover</vt:lpstr>
      <vt:lpstr>Summary</vt:lpstr>
      <vt:lpstr>Assumptions</vt:lpstr>
      <vt:lpstr>Income Statement</vt:lpstr>
      <vt:lpstr>Balance Sheet</vt:lpstr>
      <vt:lpstr>Cash Flow</vt:lpstr>
      <vt:lpstr>Schedules</vt:lpstr>
      <vt:lpstr>Checks</vt:lpstr>
      <vt:lpstr>Sensitivity</vt:lpstr>
      <vt:lpstr>Days_In_Year</vt:lpstr>
      <vt:lpstr>Min_Cash</vt:lpstr>
      <vt:lpstr>Model_Checks_OK</vt:lpstr>
      <vt:lpstr>Assumptions!Print_Area</vt:lpstr>
      <vt:lpstr>'Balance Sheet'!Print_Area</vt:lpstr>
      <vt:lpstr>'Cash Flow'!Print_Area</vt:lpstr>
      <vt:lpstr>Checks!Print_Area</vt:lpstr>
      <vt:lpstr>Cover!Print_Area</vt:lpstr>
      <vt:lpstr>'Income Statement'!Print_Area</vt:lpstr>
      <vt:lpstr>Schedules!Print_Area</vt:lpstr>
      <vt:lpstr>Sensitivity!Print_Area</vt:lpstr>
      <vt:lpstr>Summary!Print_Area</vt:lpstr>
      <vt:lpstr>Assumptions!Print_Titles</vt:lpstr>
      <vt:lpstr>'Balance Sheet'!Print_Titles</vt:lpstr>
      <vt:lpstr>'Cash Flow'!Print_Titles</vt:lpstr>
      <vt:lpstr>Checks!Print_Titles</vt:lpstr>
      <vt:lpstr>'Income Statement'!Print_Titles</vt:lpstr>
      <vt:lpstr>Schedules!Print_Titles</vt:lpstr>
      <vt:lpstr>Summary!Print_Titles</vt:lpstr>
      <vt:lpstr>Revolver_Limit</vt:lpstr>
      <vt:lpstr>Scenario</vt:lpstr>
      <vt:lpstr>Scenario_Idx</vt:lpstr>
      <vt:lpstr>Tolerance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Northwind Components Inc. three-statement model (fictional)</dc:title>
  <dc:subject>Integrated income statement, balance sheet and cash flow forecast</dc:subject>
  <dc:creator>Adham Karim</dc:creator>
  <dc:description>Fictional company for demonstration. Generated by three-statement-model.</dc:description>
  <cp:lastModifiedBy>Adham Karim</cp:lastModifiedBy>
  <dcterms:created xsi:type="dcterms:W3CDTF">2026-10-16T22:23:04Z</dcterms:created>
  <dcterms:modified xsi:type="dcterms:W3CDTF">2026-10-16T22:23:04Z</dcterms:modified>
</cp:coreProperties>
</file>